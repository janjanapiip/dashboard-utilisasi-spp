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PP\Project Dashboard SPP\Grafik Utilisasi SPP\"/>
    </mc:Choice>
  </mc:AlternateContent>
  <xr:revisionPtr revIDLastSave="0" documentId="13_ncr:1_{3712979E-15CE-46CB-BF38-83E8ADCB9470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JANUARI (2)" sheetId="1" r:id="rId1"/>
    <sheet name="JANUARI" sheetId="2" r:id="rId2"/>
    <sheet name="FEBRUARI " sheetId="3" r:id="rId3"/>
    <sheet name="MARET" sheetId="4" r:id="rId4"/>
    <sheet name="APRIL" sheetId="5" r:id="rId5"/>
    <sheet name="ME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KiuGHB3wBbF4tV8NIS+/seKobOB/7YCbm39TPTv/xTY="/>
    </ext>
  </extLst>
</workbook>
</file>

<file path=xl/calcChain.xml><?xml version="1.0" encoding="utf-8"?>
<calcChain xmlns="http://schemas.openxmlformats.org/spreadsheetml/2006/main">
  <c r="E24" i="6" l="1"/>
  <c r="D24" i="6"/>
  <c r="C24" i="6"/>
  <c r="E23" i="6"/>
  <c r="D23" i="6"/>
  <c r="C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E12" i="6"/>
  <c r="D12" i="6"/>
  <c r="C12" i="6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16" i="5"/>
  <c r="D16" i="5"/>
  <c r="C16" i="5"/>
  <c r="E15" i="5"/>
  <c r="D15" i="5"/>
  <c r="C15" i="5"/>
  <c r="E14" i="5"/>
  <c r="D14" i="5"/>
  <c r="C14" i="5"/>
  <c r="E13" i="5"/>
  <c r="D13" i="5"/>
  <c r="C13" i="5"/>
  <c r="E12" i="5"/>
  <c r="D12" i="5"/>
  <c r="C12" i="5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</calcChain>
</file>

<file path=xl/sharedStrings.xml><?xml version="1.0" encoding="utf-8"?>
<sst xmlns="http://schemas.openxmlformats.org/spreadsheetml/2006/main" count="754" uniqueCount="81">
  <si>
    <t>KEMENTERIAN PERHUBUNGAN</t>
  </si>
  <si>
    <t>BADAN PENGEMBANGAN SUMBER DAYA MANUSIA PERHUBUNGAN</t>
  </si>
  <si>
    <t>SEKOLAH TINGGI ILMU PELAYARAN</t>
  </si>
  <si>
    <t>UNIT SARANA PRAKTEK PELAUT (SPP)</t>
  </si>
  <si>
    <t>DOKUMEN</t>
  </si>
  <si>
    <t>: Rekapitulasi Utilisasi Sarana Praktek Pelaut</t>
  </si>
  <si>
    <t>BULAN</t>
  </si>
  <si>
    <t>: Januari 2026</t>
  </si>
  <si>
    <t>NO</t>
  </si>
  <si>
    <t>NAMA LAB</t>
  </si>
  <si>
    <t>JF</t>
  </si>
  <si>
    <t>JP</t>
  </si>
  <si>
    <t>DURASI (JAM)</t>
  </si>
  <si>
    <t>TANGGAL HARI KERJA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</si>
  <si>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</si>
  <si>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</si>
  <si>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</si>
  <si>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</si>
  <si>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</si>
  <si>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</si>
  <si>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</si>
  <si>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</si>
  <si>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</si>
  <si>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</si>
  <si>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</si>
  <si>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</si>
  <si>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</si>
  <si>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</si>
  <si>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</si>
  <si>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</si>
  <si>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</si>
  <si>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</si>
  <si>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</si>
  <si>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</si>
  <si>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</si>
  <si>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</si>
  <si>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</si>
  <si>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</si>
  <si>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</si>
  <si>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</si>
  <si>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</si>
  <si>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FR</t>
  </si>
  <si>
    <t>DRS</t>
  </si>
  <si>
    <t>JLH</t>
  </si>
  <si>
    <t>KETERANGAN</t>
  </si>
  <si>
    <t>CARGO HANDLING LABORATORY (CHL)</t>
  </si>
  <si>
    <t>ELECTRIC AND ELECTRONIC LABORATORY (EEL)</t>
  </si>
  <si>
    <t>MARINE ENGINEERING LABORATORY (MEL)</t>
  </si>
  <si>
    <t>BRIEFING ROOM</t>
  </si>
  <si>
    <t>LIQUID CARGO HANDLING SIMULATOR (LCHS)</t>
  </si>
  <si>
    <t>NAVIGATION AIDS SIMULATOR</t>
  </si>
  <si>
    <t>SHIP OPERATIONAL LABORATORY (SOL)</t>
  </si>
  <si>
    <t>ENGINE ROOM CERTIFICATION SIMULATOR (ERCS)</t>
  </si>
  <si>
    <t>ENGINE ROOM GRAPHICS LABORATORY (ERGL)</t>
  </si>
  <si>
    <t xml:space="preserve">LANGUAGE TRAINING LABORATORY </t>
  </si>
  <si>
    <t>AUTOMATIC CONTROL SYSTEM LABORATORY (ACSL)</t>
  </si>
  <si>
    <t>JF: Jumlah Frekuensi</t>
  </si>
  <si>
    <t>JP: Jumlah Pengguna</t>
  </si>
  <si>
    <t>GRAFIK DURASI PENGGUNAAN</t>
  </si>
  <si>
    <t>GRAFIK JUMLAH FREKUENSI</t>
  </si>
  <si>
    <t>GRAFIK JUMLAH PENGGUNA</t>
  </si>
  <si>
    <t>TANGGAL KERJA</t>
  </si>
  <si>
    <t>Catatan</t>
  </si>
  <si>
    <t>DRS : Durasi Penggunaan</t>
  </si>
  <si>
    <t xml:space="preserve">                                               GRAFIK JUMLAH FREKUENSI</t>
  </si>
  <si>
    <t>: FEBRUARI 2026</t>
  </si>
  <si>
    <t xml:space="preserve">  </t>
  </si>
  <si>
    <t xml:space="preserve"> </t>
  </si>
  <si>
    <t xml:space="preserve">                                                     </t>
  </si>
  <si>
    <t xml:space="preserve">                                                                         GRAFIK JUMLAH FREKUENSI</t>
  </si>
  <si>
    <t>: Maret 2026</t>
  </si>
  <si>
    <t>JF : Jumlah Frekuensi</t>
  </si>
  <si>
    <t>JP : Jumlah Pengguna</t>
  </si>
  <si>
    <t xml:space="preserve">                           GRAFIK  JUMLAH FREKUENSI</t>
  </si>
  <si>
    <t>GRAFIK  JUMLAH PENGGUNA</t>
  </si>
  <si>
    <t>GRAFIK  DURASI PENGGUNAAN</t>
  </si>
  <si>
    <t>: April 2026</t>
  </si>
  <si>
    <t xml:space="preserve">                                                     GRAFIK JUMLAH FREKUENSI</t>
  </si>
  <si>
    <t>: Mei 2026</t>
  </si>
  <si>
    <t>ENGINEERING WORKSHOP</t>
  </si>
  <si>
    <t>COMPUTER BASED TRAINING (CBT) 1 &amp;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</si>
</sst>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6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8F0FE"/>
        <bgColor rgb="FFE8F0FE"/>
      </patternFill>
    </fill>
  </fills>
  <borders count="2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 applyAlignment="1">
      <alignment horizontal="center"/>
    </xf>
    <xf numFmtId="0" fontId="4" fillId="2" borderId="9" xfId="0" applyFont="1" applyFill="1" applyBorder="1"/>
    <xf numFmtId="0" fontId="4" fillId="2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6" fillId="3" borderId="9" xfId="0" applyFont="1" applyFill="1" applyBorder="1"/>
    <xf numFmtId="0" fontId="4" fillId="4" borderId="9" xfId="0" applyFont="1" applyFill="1" applyBorder="1" applyAlignment="1">
      <alignment horizontal="center"/>
    </xf>
    <xf numFmtId="0" fontId="4" fillId="3" borderId="9" xfId="0" applyFont="1" applyFill="1" applyBorder="1"/>
    <xf numFmtId="0" fontId="4" fillId="4" borderId="9" xfId="0" applyFont="1" applyFill="1" applyBorder="1"/>
    <xf numFmtId="0" fontId="4" fillId="5" borderId="9" xfId="0" applyFont="1" applyFill="1" applyBorder="1"/>
    <xf numFmtId="0" fontId="4" fillId="6" borderId="9" xfId="0" applyFont="1" applyFill="1" applyBorder="1"/>
    <xf numFmtId="0" fontId="7" fillId="0" borderId="0" xfId="0" applyFont="1"/>
    <xf numFmtId="0" fontId="4" fillId="7" borderId="9" xfId="0" applyFont="1" applyFill="1" applyBorder="1" applyAlignment="1">
      <alignment horizontal="center"/>
    </xf>
    <xf numFmtId="0" fontId="6" fillId="7" borderId="12" xfId="0" applyFont="1" applyFill="1" applyBorder="1"/>
    <xf numFmtId="0" fontId="4" fillId="7" borderId="12" xfId="0" applyFont="1" applyFill="1" applyBorder="1" applyAlignment="1">
      <alignment horizontal="center"/>
    </xf>
    <xf numFmtId="0" fontId="4" fillId="7" borderId="12" xfId="0" applyFont="1" applyFill="1" applyBorder="1"/>
    <xf numFmtId="0" fontId="6" fillId="5" borderId="9" xfId="0" applyFont="1" applyFill="1" applyBorder="1"/>
    <xf numFmtId="0" fontId="4" fillId="5" borderId="9" xfId="0" applyFont="1" applyFill="1" applyBorder="1" applyAlignment="1">
      <alignment horizontal="center"/>
    </xf>
    <xf numFmtId="0" fontId="6" fillId="4" borderId="9" xfId="0" applyFont="1" applyFill="1" applyBorder="1"/>
    <xf numFmtId="0" fontId="4" fillId="8" borderId="12" xfId="0" applyFont="1" applyFill="1" applyBorder="1"/>
    <xf numFmtId="0" fontId="4" fillId="0" borderId="0" xfId="0" applyFont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2" xfId="0" applyFont="1" applyFill="1" applyBorder="1"/>
    <xf numFmtId="0" fontId="9" fillId="0" borderId="0" xfId="0" applyFont="1" applyAlignment="1">
      <alignment horizontal="center"/>
    </xf>
    <xf numFmtId="0" fontId="6" fillId="7" borderId="28" xfId="0" applyFont="1" applyFill="1" applyBorder="1"/>
    <xf numFmtId="0" fontId="4" fillId="2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wrapText="1"/>
    </xf>
    <xf numFmtId="0" fontId="5" fillId="0" borderId="6" xfId="0" applyFont="1" applyBorder="1"/>
    <xf numFmtId="0" fontId="5" fillId="0" borderId="8" xfId="0" applyFont="1" applyBorder="1"/>
    <xf numFmtId="0" fontId="4" fillId="2" borderId="3" xfId="0" quotePrefix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5" fillId="0" borderId="14" xfId="0" applyFont="1" applyBorder="1"/>
    <xf numFmtId="0" fontId="4" fillId="2" borderId="1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5" fillId="0" borderId="18" xfId="0" applyFont="1" applyBorder="1"/>
    <xf numFmtId="0" fontId="5" fillId="0" borderId="23" xfId="0" applyFont="1" applyBorder="1"/>
    <xf numFmtId="0" fontId="5" fillId="0" borderId="24" xfId="0" applyFont="1" applyBorder="1"/>
    <xf numFmtId="0" fontId="4" fillId="2" borderId="20" xfId="0" quotePrefix="1" applyFont="1" applyFill="1" applyBorder="1" applyAlignment="1">
      <alignment horizontal="center"/>
    </xf>
    <xf numFmtId="0" fontId="5" fillId="0" borderId="21" xfId="0" applyFont="1" applyBorder="1"/>
    <xf numFmtId="0" fontId="5" fillId="0" borderId="22" xfId="0" applyFont="1" applyBorder="1"/>
    <xf numFmtId="0" fontId="4" fillId="2" borderId="20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5" fillId="0" borderId="26" xfId="0" applyFont="1" applyBorder="1"/>
    <xf numFmtId="0" fontId="4" fillId="3" borderId="13" xfId="0" applyFont="1" applyFill="1" applyBorder="1"/>
    <xf numFmtId="0" fontId="4" fillId="7" borderId="27" xfId="0" applyFont="1" applyFill="1" applyBorder="1" applyAlignment="1">
      <alignment horizontal="center"/>
    </xf>
    <xf numFmtId="0" fontId="4" fillId="2" borderId="13" xfId="0" applyFont="1" applyFill="1" applyBorder="1"/>
    <xf numFmtId="0" fontId="4" fillId="2" borderId="16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5" fillId="0" borderId="25" xfId="0" applyFont="1" applyBorder="1"/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</dxfs>
  <tableStyles count="2">
    <tableStyle name="FEBRUARI 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MARET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JF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'JANUARI (2)'!$B$12:$B$24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'JANUARI (2)'!$C$12:$C$24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6D-4F52-BB6C-B5EC45F7D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0533460"/>
        <c:axId val="257155421"/>
      </c:barChart>
      <c:catAx>
        <c:axId val="1290533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155421"/>
        <c:crosses val="autoZero"/>
        <c:auto val="1"/>
        <c:lblAlgn val="ctr"/>
        <c:lblOffset val="100"/>
        <c:noMultiLvlLbl val="1"/>
      </c:catAx>
      <c:valAx>
        <c:axId val="257155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05334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'JANUARI (2)'!$B$12:$B$24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'JANUARI (2)'!$D$12:$D$24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567</c:v>
                </c:pt>
                <c:pt idx="9">
                  <c:v>0</c:v>
                </c:pt>
                <c:pt idx="10">
                  <c:v>0</c:v>
                </c:pt>
                <c:pt idx="11">
                  <c:v>479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99-4BC0-AED9-18CB0DFF4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4215695"/>
        <c:axId val="564055877"/>
      </c:barChart>
      <c:catAx>
        <c:axId val="1984215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4055877"/>
        <c:crosses val="autoZero"/>
        <c:auto val="1"/>
        <c:lblAlgn val="ctr"/>
        <c:lblOffset val="100"/>
        <c:noMultiLvlLbl val="1"/>
      </c:catAx>
      <c:valAx>
        <c:axId val="564055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42156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DURASI (JAM)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'JANUARI (2)'!$B$12:$B$24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'JANUARI (2)'!$E$12:$E$24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48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41-45A9-AF56-E58BD022E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8818318"/>
        <c:axId val="1946938720"/>
      </c:barChart>
      <c:catAx>
        <c:axId val="1548818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6938720"/>
        <c:crosses val="autoZero"/>
        <c:auto val="1"/>
        <c:lblAlgn val="ctr"/>
        <c:lblOffset val="100"/>
        <c:noMultiLvlLbl val="1"/>
      </c:catAx>
      <c:valAx>
        <c:axId val="19469387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881831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JF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JANUARI!$B$12:$B$24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JANUARI!$C$12:$C$24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11-47EB-A84A-1EAA92D8E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0737773"/>
        <c:axId val="396583277"/>
      </c:barChart>
      <c:catAx>
        <c:axId val="1230737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6583277"/>
        <c:crosses val="autoZero"/>
        <c:auto val="1"/>
        <c:lblAlgn val="ctr"/>
        <c:lblOffset val="100"/>
        <c:noMultiLvlLbl val="1"/>
      </c:catAx>
      <c:valAx>
        <c:axId val="396583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07377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JANUARI!$B$12:$B$24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JANUARI!$D$12:$D$24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567</c:v>
                </c:pt>
                <c:pt idx="9">
                  <c:v>0</c:v>
                </c:pt>
                <c:pt idx="10">
                  <c:v>0</c:v>
                </c:pt>
                <c:pt idx="11">
                  <c:v>479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09-41E8-B693-7FD0683E4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922753"/>
        <c:axId val="1493791062"/>
      </c:barChart>
      <c:catAx>
        <c:axId val="369922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3791062"/>
        <c:crosses val="autoZero"/>
        <c:auto val="1"/>
        <c:lblAlgn val="ctr"/>
        <c:lblOffset val="100"/>
        <c:noMultiLvlLbl val="1"/>
      </c:catAx>
      <c:valAx>
        <c:axId val="1493791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99227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DURASI (JAM)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JANUARI!$B$12:$B$24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JANUARI!$E$12:$E$24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48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E4-4674-9B75-F2003B0E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847167"/>
        <c:axId val="954773555"/>
      </c:barChart>
      <c:catAx>
        <c:axId val="281847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4773555"/>
        <c:crosses val="autoZero"/>
        <c:auto val="1"/>
        <c:lblAlgn val="ctr"/>
        <c:lblOffset val="100"/>
        <c:noMultiLvlLbl val="1"/>
      </c:catAx>
      <c:valAx>
        <c:axId val="954773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1847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JF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'FEBRUARI 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'FEBRUARI '!$C$12:$C$24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0</c:v>
                </c:pt>
                <c:pt idx="8">
                  <c:v>12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5D-412F-BBA5-4B2D8D586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17639192"/>
        <c:axId val="528876251"/>
      </c:barChart>
      <c:catAx>
        <c:axId val="1317639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8876251"/>
        <c:crosses val="autoZero"/>
        <c:auto val="1"/>
        <c:lblAlgn val="ctr"/>
        <c:lblOffset val="100"/>
        <c:noMultiLvlLbl val="1"/>
      </c:catAx>
      <c:valAx>
        <c:axId val="528876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176391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'FEBRUARI 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'FEBRUARI '!$D$12:$D$24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0</c:v>
                </c:pt>
                <c:pt idx="5">
                  <c:v>10</c:v>
                </c:pt>
                <c:pt idx="6">
                  <c:v>65</c:v>
                </c:pt>
                <c:pt idx="7">
                  <c:v>0</c:v>
                </c:pt>
                <c:pt idx="8">
                  <c:v>660</c:v>
                </c:pt>
                <c:pt idx="9">
                  <c:v>0</c:v>
                </c:pt>
                <c:pt idx="10">
                  <c:v>0</c:v>
                </c:pt>
                <c:pt idx="11">
                  <c:v>509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770-4C01-BEB2-ADE2F6AC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6966695"/>
        <c:axId val="1512625203"/>
      </c:barChart>
      <c:catAx>
        <c:axId val="1356966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2625203"/>
        <c:crosses val="autoZero"/>
        <c:auto val="1"/>
        <c:lblAlgn val="ctr"/>
        <c:lblOffset val="100"/>
        <c:noMultiLvlLbl val="1"/>
      </c:catAx>
      <c:valAx>
        <c:axId val="1512625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5696669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DURASI (JAM)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'FEBRUARI '!$B$12:$B$24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'FEBRUARI '!$E$12:$E$24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0</c:v>
                </c:pt>
                <c:pt idx="5">
                  <c:v>5</c:v>
                </c:pt>
                <c:pt idx="6">
                  <c:v>6</c:v>
                </c:pt>
                <c:pt idx="7">
                  <c:v>0</c:v>
                </c:pt>
                <c:pt idx="8">
                  <c:v>62</c:v>
                </c:pt>
                <c:pt idx="9">
                  <c:v>0</c:v>
                </c:pt>
                <c:pt idx="10">
                  <c:v>0</c:v>
                </c:pt>
                <c:pt idx="11">
                  <c:v>53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43-4B7E-899F-3EA2E74B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1698245"/>
        <c:axId val="2122929490"/>
      </c:barChart>
      <c:catAx>
        <c:axId val="601698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2929490"/>
        <c:crosses val="autoZero"/>
        <c:auto val="1"/>
        <c:lblAlgn val="ctr"/>
        <c:lblOffset val="100"/>
        <c:noMultiLvlLbl val="1"/>
      </c:catAx>
      <c:valAx>
        <c:axId val="2122929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16982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MARET!$B$12:$B$24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MARET!$C$12:$C$27</c:f>
              <c:numCache>
                <c:formatCode>General</c:formatCode>
                <c:ptCount val="16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BF-48F0-84B6-736346238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7609536"/>
        <c:axId val="452651534"/>
      </c:barChart>
      <c:catAx>
        <c:axId val="116760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2651534"/>
        <c:crosses val="autoZero"/>
        <c:auto val="1"/>
        <c:lblAlgn val="ctr"/>
        <c:lblOffset val="100"/>
        <c:noMultiLvlLbl val="1"/>
      </c:catAx>
      <c:valAx>
        <c:axId val="452651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6760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444444444444449"/>
          <c:y val="7.7130830344320167E-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MARET!$B$12:$B$24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MARET!$D$12:$D$27</c:f>
              <c:numCache>
                <c:formatCode>General</c:formatCode>
                <c:ptCount val="16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650</c:v>
                </c:pt>
                <c:pt idx="9">
                  <c:v>0</c:v>
                </c:pt>
                <c:pt idx="10">
                  <c:v>0</c:v>
                </c:pt>
                <c:pt idx="11">
                  <c:v>654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C92-4608-8987-740B8D3E5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3447115"/>
        <c:axId val="1496707132"/>
      </c:barChart>
      <c:catAx>
        <c:axId val="243447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6707132"/>
        <c:crosses val="autoZero"/>
        <c:auto val="1"/>
        <c:lblAlgn val="ctr"/>
        <c:lblOffset val="100"/>
        <c:noMultiLvlLbl val="1"/>
      </c:catAx>
      <c:valAx>
        <c:axId val="1496707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34471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MARET!$B$12:$B$25</c:f>
              <c:strCache>
                <c:ptCount val="14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  <c:pt idx="13">
                  <c:v>Catatan</c:v>
                </c:pt>
              </c:strCache>
            </c:strRef>
          </c:cat>
          <c:val>
            <c:numRef>
              <c:f>MARET!$E$12:$E$27</c:f>
              <c:numCache>
                <c:formatCode>General</c:formatCode>
                <c:ptCount val="16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67</c:v>
                </c:pt>
                <c:pt idx="9">
                  <c:v>0</c:v>
                </c:pt>
                <c:pt idx="10">
                  <c:v>0</c:v>
                </c:pt>
                <c:pt idx="11">
                  <c:v>68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F1-4D28-86A7-546AEDA7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037236"/>
        <c:axId val="805485209"/>
      </c:barChart>
      <c:catAx>
        <c:axId val="1883037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5485209"/>
        <c:crosses val="autoZero"/>
        <c:auto val="1"/>
        <c:lblAlgn val="ctr"/>
        <c:lblOffset val="100"/>
        <c:noMultiLvlLbl val="1"/>
      </c:catAx>
      <c:valAx>
        <c:axId val="805485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30372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JF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APRIL!$B$12:$B$24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APRIL!$C$12:$C$24</c:f>
              <c:numCache>
                <c:formatCode>General</c:formatCode>
                <c:ptCount val="13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15</c:v>
                </c:pt>
                <c:pt idx="4">
                  <c:v>0</c:v>
                </c:pt>
                <c:pt idx="5">
                  <c:v>1</c:v>
                </c:pt>
                <c:pt idx="6">
                  <c:v>11</c:v>
                </c:pt>
                <c:pt idx="7">
                  <c:v>0</c:v>
                </c:pt>
                <c:pt idx="8">
                  <c:v>12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CD-4B67-9741-AD03E8577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3455420"/>
        <c:axId val="941680830"/>
      </c:barChart>
      <c:catAx>
        <c:axId val="533455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1680830"/>
        <c:crosses val="autoZero"/>
        <c:auto val="1"/>
        <c:lblAlgn val="ctr"/>
        <c:lblOffset val="100"/>
        <c:noMultiLvlLbl val="1"/>
      </c:catAx>
      <c:valAx>
        <c:axId val="941680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34554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APRIL!$B$12:$B$24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APRIL!$D$12:$D$24</c:f>
              <c:numCache>
                <c:formatCode>General</c:formatCode>
                <c:ptCount val="13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231</c:v>
                </c:pt>
                <c:pt idx="4">
                  <c:v>0</c:v>
                </c:pt>
                <c:pt idx="5">
                  <c:v>7</c:v>
                </c:pt>
                <c:pt idx="6">
                  <c:v>246</c:v>
                </c:pt>
                <c:pt idx="7">
                  <c:v>0</c:v>
                </c:pt>
                <c:pt idx="8">
                  <c:v>244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9C4-47D9-B182-F53CCDD7F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225859"/>
        <c:axId val="1721891251"/>
      </c:barChart>
      <c:catAx>
        <c:axId val="9522258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1891251"/>
        <c:crosses val="autoZero"/>
        <c:auto val="1"/>
        <c:lblAlgn val="ctr"/>
        <c:lblOffset val="100"/>
        <c:noMultiLvlLbl val="1"/>
      </c:catAx>
      <c:valAx>
        <c:axId val="1721891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22258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DURASI (JAM)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APRIL!$B$12:$B$24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APRIL!$E$12:$E$24</c:f>
              <c:numCache>
                <c:formatCode>General</c:formatCode>
                <c:ptCount val="13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0</c:v>
                </c:pt>
                <c:pt idx="5">
                  <c:v>2</c:v>
                </c:pt>
                <c:pt idx="6">
                  <c:v>21</c:v>
                </c:pt>
                <c:pt idx="7">
                  <c:v>0</c:v>
                </c:pt>
                <c:pt idx="8">
                  <c:v>35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F3-493F-B64D-DF252B0E8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9102927"/>
        <c:axId val="417056890"/>
      </c:barChart>
      <c:catAx>
        <c:axId val="929102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7056890"/>
        <c:crosses val="autoZero"/>
        <c:auto val="1"/>
        <c:lblAlgn val="ctr"/>
        <c:lblOffset val="100"/>
        <c:noMultiLvlLbl val="1"/>
      </c:catAx>
      <c:valAx>
        <c:axId val="417056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91029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JF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MEI!$C$12:$C$24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0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4A-468D-8906-9AB51C2F1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7299286"/>
        <c:axId val="958958690"/>
      </c:barChart>
      <c:catAx>
        <c:axId val="1777299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958690"/>
        <c:crosses val="autoZero"/>
        <c:auto val="1"/>
        <c:lblAlgn val="ctr"/>
        <c:lblOffset val="100"/>
        <c:noMultiLvlLbl val="1"/>
      </c:catAx>
      <c:valAx>
        <c:axId val="958958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7729928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JP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MEI!$D$12:$D$24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567</c:v>
                </c:pt>
                <c:pt idx="9">
                  <c:v>0</c:v>
                </c:pt>
                <c:pt idx="10">
                  <c:v>0</c:v>
                </c:pt>
                <c:pt idx="11">
                  <c:v>479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F8-41A5-A09B-3818F580B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155738"/>
        <c:axId val="313636381"/>
      </c:barChart>
      <c:catAx>
        <c:axId val="2105155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3636381"/>
        <c:crosses val="autoZero"/>
        <c:auto val="1"/>
        <c:lblAlgn val="ctr"/>
        <c:lblOffset val="100"/>
        <c:noMultiLvlLbl val="1"/>
      </c:catAx>
      <c:valAx>
        <c:axId val="313636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51557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DURASI (JAM)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MEI!$B$12:$B$24</c:f>
              <c:strCache>
                <c:ptCount val="13"/>
                <c:pt idx="0">
                  <c:v>CARGO HANDLING LABORATORY (CHL)</c:v>
                </c:pt>
                <c:pt idx="1">
                  <c:v>ELECTRIC AND ELECTRONIC LABORATORY (EEL)</c:v>
                </c:pt>
                <c:pt idx="2">
                  <c:v>ENGINEERING WORKSHOP</c:v>
                </c:pt>
                <c:pt idx="3">
                  <c:v>MARINE ENGINEERING LABORATORY (MEL)</c:v>
                </c:pt>
                <c:pt idx="4">
                  <c:v>BRIEFING ROOM</c:v>
                </c:pt>
                <c:pt idx="5">
                  <c:v>LIQUID CARGO HANDLING SIMULATOR (LCHS)</c:v>
                </c:pt>
                <c:pt idx="6">
                  <c:v>NAVIGATION AIDS SIMULATOR</c:v>
                </c:pt>
                <c:pt idx="7">
                  <c:v>SHIP OPERATIONAL LABORATORY (SOL)</c:v>
                </c:pt>
                <c:pt idx="8">
                  <c:v>COMPUTER BASED TRAINING (CBT) 1 &amp; 2</c:v>
                </c:pt>
                <c:pt idx="9">
                  <c:v>ENGINE ROOM CERTIFICATION SIMULATOR (ERCS)</c:v>
                </c:pt>
                <c:pt idx="10">
                  <c:v>ENGINE ROOM GRAPHICS LABORATORY (ERGL)</c:v>
                </c:pt>
                <c:pt idx="11">
                  <c:v>LANGUAGE TRAINING LABORATORY </c:v>
                </c:pt>
                <c:pt idx="12">
                  <c:v>AUTOMATIC CONTROL SYSTEM LABORATORY (ACSL)</c:v>
                </c:pt>
              </c:strCache>
            </c:strRef>
          </c:cat>
          <c:val>
            <c:numRef>
              <c:f>MEI!$E$12:$E$24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56</c:v>
                </c:pt>
                <c:pt idx="9">
                  <c:v>0</c:v>
                </c:pt>
                <c:pt idx="10">
                  <c:v>0</c:v>
                </c:pt>
                <c:pt idx="11">
                  <c:v>48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24-4D6C-8821-549284D0B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0695620"/>
        <c:axId val="1682862019"/>
      </c:barChart>
      <c:catAx>
        <c:axId val="1910695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862019"/>
        <c:crosses val="autoZero"/>
        <c:auto val="1"/>
        <c:lblAlgn val="ctr"/>
        <c:lblOffset val="100"/>
        <c:noMultiLvlLbl val="1"/>
      </c:catAx>
      <c:valAx>
        <c:axId val="1682862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06956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image" Target="../media/image4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4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image" Target="../media/image4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4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image" Target="../media/image4.png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19050</xdr:rowOff>
    </xdr:from>
    <xdr:ext cx="8191500" cy="6248400"/>
    <xdr:graphicFrame macro="">
      <xdr:nvGraphicFramePr>
        <xdr:cNvPr id="2050771887" name="Chart 1" title="Diagram">
          <a:extLst>
            <a:ext uri="{FF2B5EF4-FFF2-40B4-BE49-F238E27FC236}">
              <a16:creationId xmlns:a16="http://schemas.microsoft.com/office/drawing/2014/main" id="{00000000-0008-0000-0000-0000AF4B3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19050</xdr:colOff>
      <xdr:row>47</xdr:row>
      <xdr:rowOff>0</xdr:rowOff>
    </xdr:from>
    <xdr:ext cx="8172450" cy="6162675"/>
    <xdr:graphicFrame macro="">
      <xdr:nvGraphicFramePr>
        <xdr:cNvPr id="647928251" name="Chart 2" title="Diagram">
          <a:extLst>
            <a:ext uri="{FF2B5EF4-FFF2-40B4-BE49-F238E27FC236}">
              <a16:creationId xmlns:a16="http://schemas.microsoft.com/office/drawing/2014/main" id="{00000000-0008-0000-0000-0000BB999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63</xdr:col>
      <xdr:colOff>257175</xdr:colOff>
      <xdr:row>47</xdr:row>
      <xdr:rowOff>28575</xdr:rowOff>
    </xdr:from>
    <xdr:ext cx="8410575" cy="6010275"/>
    <xdr:graphicFrame macro="">
      <xdr:nvGraphicFramePr>
        <xdr:cNvPr id="1493326110" name="Chart 3" title="Diagram">
          <a:extLst>
            <a:ext uri="{FF2B5EF4-FFF2-40B4-BE49-F238E27FC236}">
              <a16:creationId xmlns:a16="http://schemas.microsoft.com/office/drawing/2014/main" id="{00000000-0008-0000-0000-00001E590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1143000</xdr:colOff>
      <xdr:row>91</xdr:row>
      <xdr:rowOff>190500</xdr:rowOff>
    </xdr:from>
    <xdr:ext cx="4095750" cy="1485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02888" y="3041813"/>
          <a:ext cx="4086225" cy="1476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MENGETAHUI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Ka. UNIT SARANA PRAKTEK PELAUT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PANDERAJA SIJABAT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NIP 19731998031001</a:t>
          </a:r>
          <a:endParaRPr sz="1100"/>
        </a:p>
      </xdr:txBody>
    </xdr:sp>
    <xdr:clientData fLocksWithSheet="0"/>
  </xdr:oneCellAnchor>
  <xdr:oneCellAnchor>
    <xdr:from>
      <xdr:col>74</xdr:col>
      <xdr:colOff>104775</xdr:colOff>
      <xdr:row>92</xdr:row>
      <xdr:rowOff>161925</xdr:rowOff>
    </xdr:from>
    <xdr:ext cx="4095750" cy="131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302888" y="3127538"/>
          <a:ext cx="4086225" cy="1304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Jakarta,                    2026</a:t>
          </a: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PIC GUGUS KENDALI MUTU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(.............................................................)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NIP .....................................</a:t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0</xdr:row>
      <xdr:rowOff>9525</xdr:rowOff>
    </xdr:from>
    <xdr:ext cx="1543050" cy="600075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28575</xdr:colOff>
      <xdr:row>0</xdr:row>
      <xdr:rowOff>0</xdr:rowOff>
    </xdr:from>
    <xdr:ext cx="1162050" cy="7048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19050</xdr:colOff>
      <xdr:row>0</xdr:row>
      <xdr:rowOff>47625</xdr:rowOff>
    </xdr:from>
    <xdr:ext cx="904875" cy="6381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219075</xdr:colOff>
      <xdr:row>0</xdr:row>
      <xdr:rowOff>0</xdr:rowOff>
    </xdr:from>
    <xdr:ext cx="942975" cy="7048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31</xdr:row>
      <xdr:rowOff>152400</xdr:rowOff>
    </xdr:from>
    <xdr:ext cx="7534275" cy="4829175"/>
    <xdr:graphicFrame macro="">
      <xdr:nvGraphicFramePr>
        <xdr:cNvPr id="1221366486" name="Chart 4" title="Diagram">
          <a:extLst>
            <a:ext uri="{FF2B5EF4-FFF2-40B4-BE49-F238E27FC236}">
              <a16:creationId xmlns:a16="http://schemas.microsoft.com/office/drawing/2014/main" id="{00000000-0008-0000-0100-0000D692C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85725</xdr:colOff>
      <xdr:row>32</xdr:row>
      <xdr:rowOff>19050</xdr:rowOff>
    </xdr:from>
    <xdr:ext cx="6762750" cy="4762500"/>
    <xdr:graphicFrame macro="">
      <xdr:nvGraphicFramePr>
        <xdr:cNvPr id="858170115" name="Chart 5" title="Diagram">
          <a:extLst>
            <a:ext uri="{FF2B5EF4-FFF2-40B4-BE49-F238E27FC236}">
              <a16:creationId xmlns:a16="http://schemas.microsoft.com/office/drawing/2014/main" id="{00000000-0008-0000-0100-000003A32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40</xdr:col>
      <xdr:colOff>238125</xdr:colOff>
      <xdr:row>31</xdr:row>
      <xdr:rowOff>171450</xdr:rowOff>
    </xdr:from>
    <xdr:ext cx="7324725" cy="4695825"/>
    <xdr:graphicFrame macro="">
      <xdr:nvGraphicFramePr>
        <xdr:cNvPr id="1424312952" name="Chart 6" title="Diagram">
          <a:extLst>
            <a:ext uri="{FF2B5EF4-FFF2-40B4-BE49-F238E27FC236}">
              <a16:creationId xmlns:a16="http://schemas.microsoft.com/office/drawing/2014/main" id="{00000000-0008-0000-0100-0000784AE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85725</xdr:colOff>
      <xdr:row>67</xdr:row>
      <xdr:rowOff>19050</xdr:rowOff>
    </xdr:from>
    <xdr:ext cx="5362575" cy="2924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667015" y="2318082"/>
          <a:ext cx="5357971" cy="292383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MENGETAHUI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Ka. UNIT SARANA PRAKTEK PELAUT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Panderaja Soritua Sijabat, S.Kom., M. M. Tr.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NIP. </a:t>
          </a:r>
          <a:r>
            <a:rPr lang="en-US" sz="1600">
              <a:latin typeface="Arial"/>
              <a:ea typeface="Arial"/>
              <a:cs typeface="Arial"/>
              <a:sym typeface="Arial"/>
            </a:rPr>
            <a:t>197301151998031001</a:t>
          </a:r>
          <a:endParaRPr sz="24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46</xdr:col>
      <xdr:colOff>57150</xdr:colOff>
      <xdr:row>67</xdr:row>
      <xdr:rowOff>47625</xdr:rowOff>
    </xdr:from>
    <xdr:ext cx="4095750" cy="26955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302888" y="2436063"/>
          <a:ext cx="4086225" cy="2687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Jakarta,                    2026</a:t>
          </a: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PIC GUGUS KENDALI MUTU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(.............................................................)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 .....................................</a:t>
          </a: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38100</xdr:colOff>
      <xdr:row>0</xdr:row>
      <xdr:rowOff>9525</xdr:rowOff>
    </xdr:from>
    <xdr:ext cx="1543050" cy="600075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238125</xdr:colOff>
      <xdr:row>0</xdr:row>
      <xdr:rowOff>0</xdr:rowOff>
    </xdr:from>
    <xdr:ext cx="1162050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19050</xdr:colOff>
      <xdr:row>0</xdr:row>
      <xdr:rowOff>47625</xdr:rowOff>
    </xdr:from>
    <xdr:ext cx="904875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219075</xdr:colOff>
      <xdr:row>0</xdr:row>
      <xdr:rowOff>0</xdr:rowOff>
    </xdr:from>
    <xdr:ext cx="942975" cy="7048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32</xdr:row>
      <xdr:rowOff>0</xdr:rowOff>
    </xdr:from>
    <xdr:ext cx="6619875" cy="4267200"/>
    <xdr:graphicFrame macro="">
      <xdr:nvGraphicFramePr>
        <xdr:cNvPr id="68551397" name="Chart 7" title="Diagram">
          <a:extLst>
            <a:ext uri="{FF2B5EF4-FFF2-40B4-BE49-F238E27FC236}">
              <a16:creationId xmlns:a16="http://schemas.microsoft.com/office/drawing/2014/main" id="{00000000-0008-0000-0200-0000E5021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247650</xdr:colOff>
      <xdr:row>32</xdr:row>
      <xdr:rowOff>9525</xdr:rowOff>
    </xdr:from>
    <xdr:ext cx="6705600" cy="4257675"/>
    <xdr:graphicFrame macro="">
      <xdr:nvGraphicFramePr>
        <xdr:cNvPr id="1437211220" name="Chart 8" title="Diagram">
          <a:extLst>
            <a:ext uri="{FF2B5EF4-FFF2-40B4-BE49-F238E27FC236}">
              <a16:creationId xmlns:a16="http://schemas.microsoft.com/office/drawing/2014/main" id="{00000000-0008-0000-0200-0000541AAA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45</xdr:col>
      <xdr:colOff>9525</xdr:colOff>
      <xdr:row>31</xdr:row>
      <xdr:rowOff>180975</xdr:rowOff>
    </xdr:from>
    <xdr:ext cx="6534150" cy="4276725"/>
    <xdr:graphicFrame macro="">
      <xdr:nvGraphicFramePr>
        <xdr:cNvPr id="1104486512" name="Chart 9" title="Diagram">
          <a:extLst>
            <a:ext uri="{FF2B5EF4-FFF2-40B4-BE49-F238E27FC236}">
              <a16:creationId xmlns:a16="http://schemas.microsoft.com/office/drawing/2014/main" id="{00000000-0008-0000-0200-00007020D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400050</xdr:colOff>
      <xdr:row>61</xdr:row>
      <xdr:rowOff>180975</xdr:rowOff>
    </xdr:from>
    <xdr:ext cx="5057775" cy="2924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2821798" y="2318082"/>
          <a:ext cx="5048404" cy="292383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MENGETAHUI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Ka. UNIT SARANA PRAKTEK PELAUT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Panderaja Soritua Sijabat,S. Kom., M.M.Tr.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NIP. </a:t>
          </a:r>
          <a:r>
            <a:rPr lang="en-US" sz="1600">
              <a:latin typeface="Arial"/>
              <a:ea typeface="Arial"/>
              <a:cs typeface="Arial"/>
              <a:sym typeface="Arial"/>
            </a:rPr>
            <a:t>197301151998031001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49</xdr:col>
      <xdr:colOff>57150</xdr:colOff>
      <xdr:row>61</xdr:row>
      <xdr:rowOff>114300</xdr:rowOff>
    </xdr:from>
    <xdr:ext cx="4105275" cy="24574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3298125" y="2554044"/>
          <a:ext cx="4095750" cy="245191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Jakarta,                    2026</a:t>
          </a: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PIC GUGUS KENDALI MUTU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(.............................................................)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 .....................................</a:t>
          </a: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38100</xdr:colOff>
      <xdr:row>0</xdr:row>
      <xdr:rowOff>66675</xdr:rowOff>
    </xdr:from>
    <xdr:ext cx="1543050" cy="533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9525</xdr:colOff>
      <xdr:row>0</xdr:row>
      <xdr:rowOff>57150</xdr:rowOff>
    </xdr:from>
    <xdr:ext cx="1162050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209550</xdr:colOff>
      <xdr:row>0</xdr:row>
      <xdr:rowOff>85725</xdr:rowOff>
    </xdr:from>
    <xdr:ext cx="904875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67</xdr:col>
      <xdr:colOff>238125</xdr:colOff>
      <xdr:row>0</xdr:row>
      <xdr:rowOff>57150</xdr:rowOff>
    </xdr:from>
    <xdr:ext cx="942975" cy="7048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32</xdr:row>
      <xdr:rowOff>0</xdr:rowOff>
    </xdr:from>
    <xdr:ext cx="6829425" cy="4848225"/>
    <xdr:graphicFrame macro="">
      <xdr:nvGraphicFramePr>
        <xdr:cNvPr id="1094919345" name="Chart 10" title="Diagram">
          <a:extLst>
            <a:ext uri="{FF2B5EF4-FFF2-40B4-BE49-F238E27FC236}">
              <a16:creationId xmlns:a16="http://schemas.microsoft.com/office/drawing/2014/main" id="{00000000-0008-0000-0300-0000B1244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9525</xdr:colOff>
      <xdr:row>32</xdr:row>
      <xdr:rowOff>66675</xdr:rowOff>
    </xdr:from>
    <xdr:ext cx="6762750" cy="4752975"/>
    <xdr:graphicFrame macro="">
      <xdr:nvGraphicFramePr>
        <xdr:cNvPr id="593749203" name="Chart 11" title="Diagram">
          <a:extLst>
            <a:ext uri="{FF2B5EF4-FFF2-40B4-BE49-F238E27FC236}">
              <a16:creationId xmlns:a16="http://schemas.microsoft.com/office/drawing/2014/main" id="{00000000-0008-0000-0300-0000D3E4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35</xdr:col>
      <xdr:colOff>209550</xdr:colOff>
      <xdr:row>32</xdr:row>
      <xdr:rowOff>19050</xdr:rowOff>
    </xdr:from>
    <xdr:ext cx="6734175" cy="4724400"/>
    <xdr:graphicFrame macro="">
      <xdr:nvGraphicFramePr>
        <xdr:cNvPr id="376573251" name="Chart 12" title="Diagram">
          <a:extLst>
            <a:ext uri="{FF2B5EF4-FFF2-40B4-BE49-F238E27FC236}">
              <a16:creationId xmlns:a16="http://schemas.microsoft.com/office/drawing/2014/main" id="{00000000-0008-0000-0300-0000430D7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200025</xdr:colOff>
      <xdr:row>61</xdr:row>
      <xdr:rowOff>19050</xdr:rowOff>
    </xdr:from>
    <xdr:ext cx="5086350" cy="29813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804372" y="2292635"/>
          <a:ext cx="5083256" cy="297473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MENGETAHUI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Ka. UNIT SARANA PRAKTEK PELAUT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Panderaja Soritua Sijabat, S.Kom., M. M. Tr.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NIP. </a:t>
          </a:r>
          <a:r>
            <a:rPr lang="en-US" sz="1600">
              <a:latin typeface="Arial"/>
              <a:ea typeface="Arial"/>
              <a:cs typeface="Arial"/>
              <a:sym typeface="Arial"/>
            </a:rPr>
            <a:t>19730115 1998031 001</a:t>
          </a:r>
          <a:endParaRPr sz="24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37</xdr:col>
      <xdr:colOff>95250</xdr:colOff>
      <xdr:row>60</xdr:row>
      <xdr:rowOff>104775</xdr:rowOff>
    </xdr:from>
    <xdr:ext cx="4752975" cy="31432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973176" y="2212039"/>
          <a:ext cx="4745648" cy="313592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Jakarta,                    2026</a:t>
          </a: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PIC GUGUS KENDALI MUTU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(.............................................................)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 .....................................</a:t>
          </a: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123825</xdr:colOff>
      <xdr:row>0</xdr:row>
      <xdr:rowOff>114300</xdr:rowOff>
    </xdr:from>
    <xdr:ext cx="1543050" cy="5334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247650</xdr:colOff>
      <xdr:row>0</xdr:row>
      <xdr:rowOff>38100</xdr:rowOff>
    </xdr:from>
    <xdr:ext cx="1162050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247650</xdr:colOff>
      <xdr:row>0</xdr:row>
      <xdr:rowOff>66675</xdr:rowOff>
    </xdr:from>
    <xdr:ext cx="904875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200025</xdr:colOff>
      <xdr:row>0</xdr:row>
      <xdr:rowOff>0</xdr:rowOff>
    </xdr:from>
    <xdr:ext cx="942975" cy="7048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32</xdr:row>
      <xdr:rowOff>9525</xdr:rowOff>
    </xdr:from>
    <xdr:ext cx="7372350" cy="6067425"/>
    <xdr:graphicFrame macro="">
      <xdr:nvGraphicFramePr>
        <xdr:cNvPr id="1353752396" name="Chart 13" title="Diagram">
          <a:extLst>
            <a:ext uri="{FF2B5EF4-FFF2-40B4-BE49-F238E27FC236}">
              <a16:creationId xmlns:a16="http://schemas.microsoft.com/office/drawing/2014/main" id="{00000000-0008-0000-0400-00004C9FB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209550</xdr:colOff>
      <xdr:row>32</xdr:row>
      <xdr:rowOff>19050</xdr:rowOff>
    </xdr:from>
    <xdr:ext cx="7839075" cy="6181725"/>
    <xdr:graphicFrame macro="">
      <xdr:nvGraphicFramePr>
        <xdr:cNvPr id="2135837392" name="Chart 14" title="Diagram">
          <a:extLst>
            <a:ext uri="{FF2B5EF4-FFF2-40B4-BE49-F238E27FC236}">
              <a16:creationId xmlns:a16="http://schemas.microsoft.com/office/drawing/2014/main" id="{00000000-0008-0000-0400-0000D04A4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48</xdr:col>
      <xdr:colOff>123825</xdr:colOff>
      <xdr:row>31</xdr:row>
      <xdr:rowOff>180975</xdr:rowOff>
    </xdr:from>
    <xdr:ext cx="7677150" cy="6181725"/>
    <xdr:graphicFrame macro="">
      <xdr:nvGraphicFramePr>
        <xdr:cNvPr id="367868025" name="Chart 15" title="Diagram">
          <a:extLst>
            <a:ext uri="{FF2B5EF4-FFF2-40B4-BE49-F238E27FC236}">
              <a16:creationId xmlns:a16="http://schemas.microsoft.com/office/drawing/2014/main" id="{00000000-0008-0000-0400-00007938E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123825</xdr:colOff>
      <xdr:row>79</xdr:row>
      <xdr:rowOff>133350</xdr:rowOff>
    </xdr:from>
    <xdr:ext cx="5676900" cy="3429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2508180" y="3608627"/>
          <a:ext cx="5675641" cy="34274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/>
        </a:p>
      </xdr:txBody>
    </xdr:sp>
    <xdr:clientData fLocksWithSheet="0"/>
  </xdr:oneCellAnchor>
  <xdr:oneCellAnchor>
    <xdr:from>
      <xdr:col>59</xdr:col>
      <xdr:colOff>152400</xdr:colOff>
      <xdr:row>84</xdr:row>
      <xdr:rowOff>0</xdr:rowOff>
    </xdr:from>
    <xdr:ext cx="4095750" cy="2667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3302888" y="3647741"/>
          <a:ext cx="4086225" cy="26451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219075</xdr:colOff>
      <xdr:row>82</xdr:row>
      <xdr:rowOff>95250</xdr:rowOff>
    </xdr:from>
    <xdr:ext cx="5057775" cy="32670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2821020" y="2148170"/>
          <a:ext cx="5049961" cy="326366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MENGETAHUI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Ka. UNIT SARANA PRAKTEK PELAUT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Panderaja Soritua Sijabat, S.Kom., M. M. Tr.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NIP. </a:t>
          </a:r>
          <a:r>
            <a:rPr lang="en-US" sz="1600">
              <a:latin typeface="Arial"/>
              <a:ea typeface="Arial"/>
              <a:cs typeface="Arial"/>
              <a:sym typeface="Arial"/>
            </a:rPr>
            <a:t>197301151998031001</a:t>
          </a:r>
          <a:endParaRPr sz="24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57</xdr:col>
      <xdr:colOff>247650</xdr:colOff>
      <xdr:row>81</xdr:row>
      <xdr:rowOff>47625</xdr:rowOff>
    </xdr:from>
    <xdr:ext cx="4752975" cy="31432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2973176" y="2212039"/>
          <a:ext cx="4745648" cy="313592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Jakarta,                    2026</a:t>
          </a: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PIC GUGUS KENDALI MUTU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endParaRPr sz="16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(.............................................................)</a:t>
          </a:r>
          <a:endParaRPr sz="20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NIP .....................................</a:t>
          </a:r>
          <a:endParaRPr sz="16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38100</xdr:colOff>
      <xdr:row>0</xdr:row>
      <xdr:rowOff>9525</xdr:rowOff>
    </xdr:from>
    <xdr:ext cx="1543050" cy="600075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0</xdr:row>
      <xdr:rowOff>0</xdr:rowOff>
    </xdr:from>
    <xdr:ext cx="1162050" cy="7048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68</xdr:col>
      <xdr:colOff>19050</xdr:colOff>
      <xdr:row>0</xdr:row>
      <xdr:rowOff>47625</xdr:rowOff>
    </xdr:from>
    <xdr:ext cx="904875" cy="6381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72</xdr:col>
      <xdr:colOff>219075</xdr:colOff>
      <xdr:row>0</xdr:row>
      <xdr:rowOff>0</xdr:rowOff>
    </xdr:from>
    <xdr:ext cx="942975" cy="7048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47</xdr:row>
      <xdr:rowOff>19050</xdr:rowOff>
    </xdr:from>
    <xdr:ext cx="8191500" cy="6248400"/>
    <xdr:graphicFrame macro="">
      <xdr:nvGraphicFramePr>
        <xdr:cNvPr id="606236578" name="Chart 16" title="Diagram">
          <a:extLst>
            <a:ext uri="{FF2B5EF4-FFF2-40B4-BE49-F238E27FC236}">
              <a16:creationId xmlns:a16="http://schemas.microsoft.com/office/drawing/2014/main" id="{00000000-0008-0000-0500-0000A26F2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19050</xdr:colOff>
      <xdr:row>47</xdr:row>
      <xdr:rowOff>0</xdr:rowOff>
    </xdr:from>
    <xdr:ext cx="8172450" cy="6162675"/>
    <xdr:graphicFrame macro="">
      <xdr:nvGraphicFramePr>
        <xdr:cNvPr id="2009487421" name="Chart 17" title="Diagram">
          <a:extLst>
            <a:ext uri="{FF2B5EF4-FFF2-40B4-BE49-F238E27FC236}">
              <a16:creationId xmlns:a16="http://schemas.microsoft.com/office/drawing/2014/main" id="{00000000-0008-0000-0500-00003D58C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63</xdr:col>
      <xdr:colOff>257175</xdr:colOff>
      <xdr:row>47</xdr:row>
      <xdr:rowOff>28575</xdr:rowOff>
    </xdr:from>
    <xdr:ext cx="8410575" cy="6010275"/>
    <xdr:graphicFrame macro="">
      <xdr:nvGraphicFramePr>
        <xdr:cNvPr id="275215207" name="Chart 18" title="Diagram">
          <a:extLst>
            <a:ext uri="{FF2B5EF4-FFF2-40B4-BE49-F238E27FC236}">
              <a16:creationId xmlns:a16="http://schemas.microsoft.com/office/drawing/2014/main" id="{00000000-0008-0000-0500-000067736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</xdr:col>
      <xdr:colOff>619125</xdr:colOff>
      <xdr:row>91</xdr:row>
      <xdr:rowOff>209550</xdr:rowOff>
    </xdr:from>
    <xdr:ext cx="4105275" cy="1466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3302888" y="3041813"/>
          <a:ext cx="4086300" cy="1446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MENGETAHUI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Ka. UNIT SARANA PRAKTEK PELAUT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PANDERAJA SIJABAT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NIP 19731998031001</a:t>
          </a:r>
          <a:endParaRPr sz="1100"/>
        </a:p>
      </xdr:txBody>
    </xdr:sp>
    <xdr:clientData fLocksWithSheet="0"/>
  </xdr:oneCellAnchor>
  <xdr:oneCellAnchor>
    <xdr:from>
      <xdr:col>74</xdr:col>
      <xdr:colOff>104775</xdr:colOff>
      <xdr:row>92</xdr:row>
      <xdr:rowOff>161925</xdr:rowOff>
    </xdr:from>
    <xdr:ext cx="4105275" cy="12954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3302888" y="3127538"/>
          <a:ext cx="4086300" cy="1277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Jakarta,                    2026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PIC GUGUS KENDALI MUTU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(.............................................................)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NIP .....................................</a:t>
          </a:r>
          <a:endParaRPr sz="1100"/>
        </a:p>
      </xdr:txBody>
    </xdr:sp>
    <xdr:clientData fLocksWithSheet="0"/>
  </xdr:oneCellAnchor>
  <xdr:oneCellAnchor>
    <xdr:from>
      <xdr:col>1</xdr:col>
      <xdr:colOff>38100</xdr:colOff>
      <xdr:row>0</xdr:row>
      <xdr:rowOff>9525</xdr:rowOff>
    </xdr:from>
    <xdr:ext cx="1543050" cy="600075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78</xdr:col>
      <xdr:colOff>28575</xdr:colOff>
      <xdr:row>0</xdr:row>
      <xdr:rowOff>0</xdr:rowOff>
    </xdr:from>
    <xdr:ext cx="1162050" cy="70485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86</xdr:col>
      <xdr:colOff>19050</xdr:colOff>
      <xdr:row>0</xdr:row>
      <xdr:rowOff>47625</xdr:rowOff>
    </xdr:from>
    <xdr:ext cx="904875" cy="6381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90</xdr:col>
      <xdr:colOff>219075</xdr:colOff>
      <xdr:row>0</xdr:row>
      <xdr:rowOff>0</xdr:rowOff>
    </xdr:from>
    <xdr:ext cx="942975" cy="704850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R26:AS26" headerRowCount="0">
  <tableColumns count="2">
    <tableColumn id="1" xr3:uid="{00000000-0010-0000-0000-000001000000}" name="Column1"/>
    <tableColumn id="2" xr3:uid="{00000000-0010-0000-0000-000002000000}" name="Column2"/>
  </tableColumns>
  <tableStyleInfo name="FEBRUARI 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M26" headerRowCount="0">
  <tableColumns count="1">
    <tableColumn id="1" xr3:uid="{00000000-0010-0000-0100-000001000000}" name="Column1"/>
  </tableColumns>
  <tableStyleInfo name="MARE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R1000"/>
  <sheetViews>
    <sheetView workbookViewId="0">
      <selection activeCell="B14" sqref="B14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7" width="4" customWidth="1"/>
    <col min="8" max="9" width="4.08984375" customWidth="1"/>
    <col min="10" max="10" width="4" customWidth="1"/>
    <col min="11" max="11" width="4.26953125" customWidth="1"/>
    <col min="12" max="12" width="3.26953125" customWidth="1"/>
    <col min="13" max="13" width="4" customWidth="1"/>
    <col min="14" max="14" width="4.26953125" customWidth="1"/>
    <col min="15" max="15" width="4.08984375" customWidth="1"/>
    <col min="16" max="16" width="4" customWidth="1"/>
    <col min="17" max="17" width="4.5429687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4" width="4" customWidth="1"/>
    <col min="35" max="36" width="3.26953125" customWidth="1"/>
    <col min="37" max="37" width="4" customWidth="1"/>
    <col min="38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1" width="4.08984375" customWidth="1"/>
    <col min="52" max="95" width="4" customWidth="1"/>
    <col min="96" max="96" width="13.81640625" customWidth="1"/>
  </cols>
  <sheetData>
    <row r="1" spans="1:96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</row>
    <row r="2" spans="1:96" ht="15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</row>
    <row r="3" spans="1:96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</row>
    <row r="4" spans="1:96" ht="15" customHeight="1" x14ac:dyDescent="0.35">
      <c r="C4" s="41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</row>
    <row r="5" spans="1:96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ht="15" customHeight="1" x14ac:dyDescent="0.35">
      <c r="B6" s="3" t="s">
        <v>4</v>
      </c>
      <c r="C6" s="3" t="s">
        <v>5</v>
      </c>
    </row>
    <row r="7" spans="1:96" ht="15" customHeight="1" x14ac:dyDescent="0.35">
      <c r="B7" s="3" t="s">
        <v>6</v>
      </c>
      <c r="C7" s="3" t="s">
        <v>7</v>
      </c>
    </row>
    <row r="9" spans="1:96" ht="14.5" x14ac:dyDescent="0.35">
      <c r="A9" s="42" t="s">
        <v>8</v>
      </c>
      <c r="B9" s="42" t="s">
        <v>9</v>
      </c>
      <c r="C9" s="34" t="s">
        <v>10</v>
      </c>
      <c r="D9" s="34" t="s">
        <v>11</v>
      </c>
      <c r="E9" s="34" t="s">
        <v>12</v>
      </c>
      <c r="F9" s="31" t="s">
        <v>13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3"/>
    </row>
    <row r="10" spans="1:96" ht="14.5" x14ac:dyDescent="0.35">
      <c r="A10" s="35"/>
      <c r="B10" s="35"/>
      <c r="C10" s="35"/>
      <c r="D10" s="35"/>
      <c r="E10" s="35"/>
      <c r="F10" s="37" t="s">
        <v>14</v>
      </c>
      <c r="G10" s="32"/>
      <c r="H10" s="33"/>
      <c r="I10" s="31" t="s">
        <v>15</v>
      </c>
      <c r="J10" s="32"/>
      <c r="K10" s="33"/>
      <c r="L10" s="31" t="s">
        <v>16</v>
      </c>
      <c r="M10" s="32"/>
      <c r="N10" s="33"/>
      <c r="O10" s="31" t="s">
        <v>17</v>
      </c>
      <c r="P10" s="32"/>
      <c r="Q10" s="33"/>
      <c r="R10" s="31" t="s">
        <v>18</v>
      </c>
      <c r="S10" s="32"/>
      <c r="T10" s="33"/>
      <c r="U10" s="31" t="s">
        <v>19</v>
      </c>
      <c r="V10" s="32"/>
      <c r="W10" s="33"/>
      <c r="X10" s="31" t="s">
        <v>20</v>
      </c>
      <c r="Y10" s="32"/>
      <c r="Z10" s="33"/>
      <c r="AA10" s="31" t="s">
        <v>21</v>
      </c>
      <c r="AB10" s="32"/>
      <c r="AC10" s="33"/>
      <c r="AD10" s="31" t="s">
        <v>22</v>
      </c>
      <c r="AE10" s="32"/>
      <c r="AF10" s="33"/>
      <c r="AG10" s="31" t="s">
        <v>23</v>
      </c>
      <c r="AH10" s="32"/>
      <c r="AI10" s="33"/>
      <c r="AJ10" s="31" t="s">
        <v>24</v>
      </c>
      <c r="AK10" s="32"/>
      <c r="AL10" s="33"/>
      <c r="AM10" s="31" t="s">
        <v>25</v>
      </c>
      <c r="AN10" s="32"/>
      <c r="AO10" s="33"/>
      <c r="AP10" s="31" t="s">
        <v>26</v>
      </c>
      <c r="AQ10" s="32"/>
      <c r="AR10" s="33"/>
      <c r="AS10" s="31" t="s">
        <v>27</v>
      </c>
      <c r="AT10" s="32"/>
      <c r="AU10" s="33"/>
      <c r="AV10" s="31" t="s">
        <v>28</v>
      </c>
      <c r="AW10" s="32"/>
      <c r="AX10" s="33"/>
      <c r="AY10" s="31" t="s">
        <v>29</v>
      </c>
      <c r="AZ10" s="32"/>
      <c r="BA10" s="33"/>
      <c r="BB10" s="31" t="s">
        <v>30</v>
      </c>
      <c r="BC10" s="32"/>
      <c r="BD10" s="33"/>
      <c r="BE10" s="31" t="s">
        <v>31</v>
      </c>
      <c r="BF10" s="32"/>
      <c r="BG10" s="33"/>
      <c r="BH10" s="31" t="s">
        <v>32</v>
      </c>
      <c r="BI10" s="32"/>
      <c r="BJ10" s="33"/>
      <c r="BK10" s="31" t="s">
        <v>33</v>
      </c>
      <c r="BL10" s="32"/>
      <c r="BM10" s="33"/>
      <c r="BN10" s="31" t="s">
        <v>34</v>
      </c>
      <c r="BO10" s="32"/>
      <c r="BP10" s="33"/>
      <c r="BQ10" s="31" t="s">
        <v>35</v>
      </c>
      <c r="BR10" s="32"/>
      <c r="BS10" s="33"/>
      <c r="BT10" s="31" t="s">
        <v>36</v>
      </c>
      <c r="BU10" s="32"/>
      <c r="BV10" s="33"/>
      <c r="BW10" s="31" t="s">
        <v>37</v>
      </c>
      <c r="BX10" s="32"/>
      <c r="BY10" s="33"/>
      <c r="BZ10" s="31" t="s">
        <v>38</v>
      </c>
      <c r="CA10" s="32"/>
      <c r="CB10" s="33"/>
      <c r="CC10" s="31" t="s">
        <v>39</v>
      </c>
      <c r="CD10" s="32"/>
      <c r="CE10" s="33"/>
      <c r="CF10" s="31" t="s">
        <v>40</v>
      </c>
      <c r="CG10" s="32"/>
      <c r="CH10" s="33"/>
      <c r="CI10" s="31">
        <v>28</v>
      </c>
      <c r="CJ10" s="32"/>
      <c r="CK10" s="33"/>
      <c r="CL10" s="31">
        <v>29</v>
      </c>
      <c r="CM10" s="32"/>
      <c r="CN10" s="33"/>
      <c r="CO10" s="31">
        <v>30</v>
      </c>
      <c r="CP10" s="32"/>
      <c r="CQ10" s="33"/>
      <c r="CR10" s="4"/>
    </row>
    <row r="11" spans="1:96" ht="14.5" x14ac:dyDescent="0.35">
      <c r="A11" s="36"/>
      <c r="B11" s="36"/>
      <c r="C11" s="36"/>
      <c r="D11" s="36"/>
      <c r="E11" s="36"/>
      <c r="F11" s="31" t="s">
        <v>41</v>
      </c>
      <c r="G11" s="33"/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5" t="s">
        <v>41</v>
      </c>
      <c r="BF11" s="5" t="s">
        <v>43</v>
      </c>
      <c r="BG11" s="5" t="s">
        <v>42</v>
      </c>
      <c r="BH11" s="5" t="s">
        <v>41</v>
      </c>
      <c r="BI11" s="5" t="s">
        <v>43</v>
      </c>
      <c r="BJ11" s="5" t="s">
        <v>42</v>
      </c>
      <c r="BK11" s="5" t="s">
        <v>41</v>
      </c>
      <c r="BL11" s="5" t="s">
        <v>43</v>
      </c>
      <c r="BM11" s="5" t="s">
        <v>42</v>
      </c>
      <c r="BN11" s="5" t="s">
        <v>41</v>
      </c>
      <c r="BO11" s="5" t="s">
        <v>43</v>
      </c>
      <c r="BP11" s="5" t="s">
        <v>42</v>
      </c>
      <c r="BQ11" s="5" t="s">
        <v>41</v>
      </c>
      <c r="BR11" s="5" t="s">
        <v>43</v>
      </c>
      <c r="BS11" s="5" t="s">
        <v>42</v>
      </c>
      <c r="BT11" s="5" t="s">
        <v>41</v>
      </c>
      <c r="BU11" s="5" t="s">
        <v>43</v>
      </c>
      <c r="BV11" s="5" t="s">
        <v>42</v>
      </c>
      <c r="BW11" s="5" t="s">
        <v>41</v>
      </c>
      <c r="BX11" s="5" t="s">
        <v>43</v>
      </c>
      <c r="BY11" s="5" t="s">
        <v>42</v>
      </c>
      <c r="BZ11" s="5" t="s">
        <v>41</v>
      </c>
      <c r="CA11" s="5" t="s">
        <v>43</v>
      </c>
      <c r="CB11" s="5" t="s">
        <v>42</v>
      </c>
      <c r="CC11" s="5" t="s">
        <v>41</v>
      </c>
      <c r="CD11" s="5" t="s">
        <v>43</v>
      </c>
      <c r="CE11" s="5" t="s">
        <v>42</v>
      </c>
      <c r="CF11" s="5" t="s">
        <v>41</v>
      </c>
      <c r="CG11" s="5" t="s">
        <v>43</v>
      </c>
      <c r="CH11" s="5" t="s">
        <v>42</v>
      </c>
      <c r="CI11" s="5" t="s">
        <v>41</v>
      </c>
      <c r="CJ11" s="5" t="s">
        <v>43</v>
      </c>
      <c r="CK11" s="5" t="s">
        <v>42</v>
      </c>
      <c r="CL11" s="5" t="s">
        <v>41</v>
      </c>
      <c r="CM11" s="5" t="s">
        <v>43</v>
      </c>
      <c r="CN11" s="5" t="s">
        <v>42</v>
      </c>
      <c r="CO11" s="5" t="s">
        <v>41</v>
      </c>
      <c r="CP11" s="5" t="s">
        <v>43</v>
      </c>
      <c r="CQ11" s="5" t="s">
        <v>42</v>
      </c>
      <c r="CR11" s="6" t="s">
        <v>44</v>
      </c>
    </row>
    <row r="12" spans="1:96" ht="15.5" x14ac:dyDescent="0.35">
      <c r="A12" s="7">
        <v>1</v>
      </c>
      <c r="B12" s="8" t="s">
        <v>45</v>
      </c>
      <c r="C12" s="9">
        <f t="shared" ref="C12:C24" si="0">SUM(F12+I12+L12+O12+R12+U12+X12+AA12+AD12+AG12+AJ12+AM12+AP12+AS12+AV12+AY12+BB12+BE12+BH12+BK12+BN12+BQ12+BT12+BW12+BZ12+CC12+CF12+CI12+CL12+CO12+CR12)</f>
        <v>0</v>
      </c>
      <c r="D12" s="9">
        <f t="shared" ref="D12:E12" si="1">SUM(G12+J12+M12+P12+S12+V12+Y12+AB12+AE12+AH12+AK12+AN12+AQ12+AT12+AW12+AZ12+BC12+BF12+BI12+BL12+BO12+BR12+BU12+BX12+CA12+CD12+CG12+CJ12+CM12+CP12)</f>
        <v>0</v>
      </c>
      <c r="E12" s="9">
        <f t="shared" si="1"/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/>
    </row>
    <row r="13" spans="1:96" ht="15.5" x14ac:dyDescent="0.35">
      <c r="A13" s="7">
        <v>2</v>
      </c>
      <c r="B13" s="11" t="s">
        <v>46</v>
      </c>
      <c r="C13" s="7">
        <f t="shared" si="0"/>
        <v>0</v>
      </c>
      <c r="D13" s="12">
        <f t="shared" ref="D13:E13" si="2">SUM(G13+J13+M13+P13+S13+V13+Y13+AB13+AE13+AH13+AK13+AN13+AQ13+AT13+AW13+AZ13+BC13+BF13+BI13+BL13+BO13+BR13+BU13+BX13+CA13+CD13+CG13+CJ13+CM13+CP13)</f>
        <v>0</v>
      </c>
      <c r="E13" s="12">
        <f t="shared" si="2"/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4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/>
    </row>
    <row r="14" spans="1:96" ht="15.5" x14ac:dyDescent="0.35">
      <c r="A14" s="7">
        <v>3</v>
      </c>
      <c r="B14" s="8" t="s">
        <v>79</v>
      </c>
      <c r="C14" s="9">
        <f t="shared" si="0"/>
        <v>0</v>
      </c>
      <c r="D14" s="9">
        <f t="shared" ref="D14:E14" si="3">SUM(G14+J14+M14+P14+S14+V14+Y14+AB14+AE14+AH14+AK14+AN14+AQ14+AT14+AW14+AZ14+BC14+BF14+BI14+BL14+BO14+BR14+BU14+BX14+CA14+CD14+CG14+CJ14+CM14+CP14)</f>
        <v>0</v>
      </c>
      <c r="E14" s="9">
        <f t="shared" si="3"/>
        <v>0</v>
      </c>
      <c r="F14" s="10">
        <v>0</v>
      </c>
      <c r="G14" s="10">
        <v>0</v>
      </c>
      <c r="H14" s="15">
        <v>0</v>
      </c>
      <c r="I14" s="10">
        <v>0</v>
      </c>
      <c r="J14" s="10">
        <v>0</v>
      </c>
      <c r="K14" s="15">
        <v>0</v>
      </c>
      <c r="L14" s="10">
        <v>0</v>
      </c>
      <c r="M14" s="10">
        <v>0</v>
      </c>
      <c r="N14" s="15">
        <v>0</v>
      </c>
      <c r="O14" s="10">
        <v>0</v>
      </c>
      <c r="P14" s="10">
        <v>0</v>
      </c>
      <c r="Q14" s="15">
        <v>0</v>
      </c>
      <c r="R14" s="10">
        <v>0</v>
      </c>
      <c r="S14" s="10">
        <v>0</v>
      </c>
      <c r="T14" s="15">
        <v>0</v>
      </c>
      <c r="U14" s="10">
        <v>0</v>
      </c>
      <c r="V14" s="10">
        <v>0</v>
      </c>
      <c r="W14" s="15">
        <v>0</v>
      </c>
      <c r="X14" s="10">
        <v>0</v>
      </c>
      <c r="Y14" s="10">
        <v>0</v>
      </c>
      <c r="Z14" s="15">
        <v>0</v>
      </c>
      <c r="AA14" s="10">
        <v>0</v>
      </c>
      <c r="AB14" s="10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0">
        <v>0</v>
      </c>
      <c r="BU14" s="10">
        <v>0</v>
      </c>
      <c r="BV14" s="15">
        <v>0</v>
      </c>
      <c r="BW14" s="10">
        <v>0</v>
      </c>
      <c r="BX14" s="10">
        <v>0</v>
      </c>
      <c r="BY14" s="15">
        <v>0</v>
      </c>
      <c r="BZ14" s="10">
        <v>0</v>
      </c>
      <c r="CA14" s="10">
        <v>0</v>
      </c>
      <c r="CB14" s="15">
        <v>0</v>
      </c>
      <c r="CC14" s="10">
        <v>0</v>
      </c>
      <c r="CD14" s="10">
        <v>0</v>
      </c>
      <c r="CE14" s="16">
        <v>0</v>
      </c>
      <c r="CF14" s="10">
        <v>0</v>
      </c>
      <c r="CG14" s="10">
        <v>0</v>
      </c>
      <c r="CH14" s="15">
        <v>0</v>
      </c>
      <c r="CI14" s="10">
        <v>0</v>
      </c>
      <c r="CJ14" s="10">
        <v>0</v>
      </c>
      <c r="CK14" s="15">
        <v>0</v>
      </c>
      <c r="CL14" s="10">
        <v>0</v>
      </c>
      <c r="CM14" s="10">
        <v>0</v>
      </c>
      <c r="CN14" s="15">
        <v>0</v>
      </c>
      <c r="CO14" s="10">
        <v>0</v>
      </c>
      <c r="CP14" s="10">
        <v>0</v>
      </c>
      <c r="CQ14" s="15">
        <v>0</v>
      </c>
      <c r="CR14" s="10"/>
    </row>
    <row r="15" spans="1:96" ht="15.5" x14ac:dyDescent="0.35">
      <c r="A15" s="7">
        <v>4</v>
      </c>
      <c r="B15" s="11" t="s">
        <v>47</v>
      </c>
      <c r="C15" s="7">
        <f t="shared" si="0"/>
        <v>0</v>
      </c>
      <c r="D15" s="12">
        <f t="shared" ref="D15:E15" si="4">SUM(G15+J15+M15+P15+S15+V15+Y15+AB15+AE15+AH15+AK15+AN15+AQ15+AT15+AW15+AZ15+BC15+BF15+BI15+BL15+BO15+BR15+BU15+BX15+CA15+CD15+CG15+CJ15+CM15+CP15)</f>
        <v>0</v>
      </c>
      <c r="E15" s="12">
        <f t="shared" si="4"/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4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/>
    </row>
    <row r="16" spans="1:96" ht="15.5" x14ac:dyDescent="0.35">
      <c r="A16" s="7">
        <v>5</v>
      </c>
      <c r="B16" s="8" t="s">
        <v>48</v>
      </c>
      <c r="C16" s="9">
        <f t="shared" si="0"/>
        <v>0</v>
      </c>
      <c r="D16" s="9">
        <f t="shared" ref="D16:E16" si="5">SUM(G16+J16+M16+P16+S16+V16+Y16+AB16+AE16+AH16+AK16+AN16+AQ16+AT16+AW16+AZ16+BC16+BF16+BI16+BL16+BO16+BR16+BU16+BX16+CA16+CD16+CG16+CJ16+CM16+CP16)</f>
        <v>0</v>
      </c>
      <c r="E16" s="9">
        <f t="shared" si="5"/>
        <v>0</v>
      </c>
      <c r="F16" s="10">
        <v>0</v>
      </c>
      <c r="G16" s="10">
        <v>0</v>
      </c>
      <c r="H16" s="15">
        <v>0</v>
      </c>
      <c r="I16" s="10">
        <v>0</v>
      </c>
      <c r="J16" s="10">
        <v>0</v>
      </c>
      <c r="K16" s="15">
        <v>0</v>
      </c>
      <c r="L16" s="10">
        <v>0</v>
      </c>
      <c r="M16" s="10">
        <v>0</v>
      </c>
      <c r="N16" s="15">
        <v>0</v>
      </c>
      <c r="O16" s="10">
        <v>0</v>
      </c>
      <c r="P16" s="10">
        <v>0</v>
      </c>
      <c r="Q16" s="15">
        <v>0</v>
      </c>
      <c r="R16" s="10">
        <v>0</v>
      </c>
      <c r="S16" s="10">
        <v>0</v>
      </c>
      <c r="T16" s="15">
        <v>0</v>
      </c>
      <c r="U16" s="10">
        <v>0</v>
      </c>
      <c r="V16" s="10">
        <v>0</v>
      </c>
      <c r="W16" s="15">
        <v>0</v>
      </c>
      <c r="X16" s="10">
        <v>0</v>
      </c>
      <c r="Y16" s="10">
        <v>0</v>
      </c>
      <c r="Z16" s="15">
        <v>0</v>
      </c>
      <c r="AA16" s="10">
        <v>0</v>
      </c>
      <c r="AB16" s="10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0">
        <v>0</v>
      </c>
      <c r="BG16" s="15">
        <v>0</v>
      </c>
      <c r="BH16" s="10">
        <v>0</v>
      </c>
      <c r="BI16" s="10">
        <v>0</v>
      </c>
      <c r="BJ16" s="15">
        <v>0</v>
      </c>
      <c r="BK16" s="10">
        <v>0</v>
      </c>
      <c r="BL16" s="10">
        <v>0</v>
      </c>
      <c r="BM16" s="15">
        <v>0</v>
      </c>
      <c r="BN16" s="10">
        <v>0</v>
      </c>
      <c r="BO16" s="10">
        <v>0</v>
      </c>
      <c r="BP16" s="15">
        <v>0</v>
      </c>
      <c r="BQ16" s="10">
        <v>0</v>
      </c>
      <c r="BR16" s="10">
        <v>0</v>
      </c>
      <c r="BS16" s="15">
        <v>0</v>
      </c>
      <c r="BT16" s="10">
        <v>0</v>
      </c>
      <c r="BU16" s="10">
        <v>0</v>
      </c>
      <c r="BV16" s="15">
        <v>0</v>
      </c>
      <c r="BW16" s="10">
        <v>0</v>
      </c>
      <c r="BX16" s="10">
        <v>0</v>
      </c>
      <c r="BY16" s="15">
        <v>0</v>
      </c>
      <c r="BZ16" s="10">
        <v>0</v>
      </c>
      <c r="CA16" s="10">
        <v>0</v>
      </c>
      <c r="CB16" s="15">
        <v>0</v>
      </c>
      <c r="CC16" s="10">
        <v>0</v>
      </c>
      <c r="CD16" s="10">
        <v>0</v>
      </c>
      <c r="CE16" s="15">
        <v>0</v>
      </c>
      <c r="CF16" s="10">
        <v>0</v>
      </c>
      <c r="CG16" s="10">
        <v>0</v>
      </c>
      <c r="CH16" s="15">
        <v>0</v>
      </c>
      <c r="CI16" s="10">
        <v>0</v>
      </c>
      <c r="CJ16" s="10">
        <v>0</v>
      </c>
      <c r="CK16" s="15">
        <v>0</v>
      </c>
      <c r="CL16" s="10">
        <v>0</v>
      </c>
      <c r="CM16" s="10">
        <v>0</v>
      </c>
      <c r="CN16" s="15">
        <v>0</v>
      </c>
      <c r="CO16" s="10">
        <v>0</v>
      </c>
      <c r="CP16" s="10">
        <v>0</v>
      </c>
      <c r="CQ16" s="15">
        <v>0</v>
      </c>
      <c r="CR16" s="10"/>
    </row>
    <row r="17" spans="1:96" ht="15.5" x14ac:dyDescent="0.35">
      <c r="A17" s="7">
        <v>6</v>
      </c>
      <c r="B17" s="11" t="s">
        <v>49</v>
      </c>
      <c r="C17" s="7">
        <f t="shared" si="0"/>
        <v>0</v>
      </c>
      <c r="D17" s="12">
        <f t="shared" ref="D17:E17" si="6">SUM(G17+J17+M17+P17+S17+V17+Y17+AB17+AE17+AH17+AK17+AN17+AQ17+AT17+AW17+AZ17+BC17+BF17+BI17+BL17+BO17+BR17+BU17+BX17+CA17+CD17+CG17+CJ17+CM17+CP17)</f>
        <v>0</v>
      </c>
      <c r="E17" s="12">
        <f t="shared" si="6"/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4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/>
    </row>
    <row r="18" spans="1:96" ht="15.5" x14ac:dyDescent="0.35">
      <c r="A18" s="7">
        <v>7</v>
      </c>
      <c r="B18" s="8" t="s">
        <v>50</v>
      </c>
      <c r="C18" s="9">
        <f t="shared" si="0"/>
        <v>0</v>
      </c>
      <c r="D18" s="9">
        <f t="shared" ref="D18:E18" si="7">SUM(G18+J18+M18+P18+S18+V18+Y18+AB18+AE18+AH18+AK18+AN18+AQ18+AT18+AW18+AZ18+BC18+BF18+BI18+BL18+BO18+BR18+BU18+BX18+CA18+CD18+CG18+CJ18+CM18+CP18)</f>
        <v>0</v>
      </c>
      <c r="E18" s="9">
        <f t="shared" si="7"/>
        <v>0</v>
      </c>
      <c r="F18" s="10">
        <v>0</v>
      </c>
      <c r="G18" s="10">
        <v>0</v>
      </c>
      <c r="H18" s="15">
        <v>0</v>
      </c>
      <c r="I18" s="10">
        <v>0</v>
      </c>
      <c r="J18" s="10">
        <v>0</v>
      </c>
      <c r="K18" s="15">
        <v>0</v>
      </c>
      <c r="L18" s="10">
        <v>0</v>
      </c>
      <c r="M18" s="10">
        <v>0</v>
      </c>
      <c r="N18" s="15">
        <v>0</v>
      </c>
      <c r="O18" s="10">
        <v>0</v>
      </c>
      <c r="P18" s="10">
        <v>0</v>
      </c>
      <c r="Q18" s="16">
        <v>0</v>
      </c>
      <c r="R18" s="10">
        <v>0</v>
      </c>
      <c r="S18" s="10">
        <v>0</v>
      </c>
      <c r="T18" s="15">
        <v>0</v>
      </c>
      <c r="U18" s="10">
        <v>0</v>
      </c>
      <c r="V18" s="10">
        <v>0</v>
      </c>
      <c r="W18" s="15">
        <v>0</v>
      </c>
      <c r="X18" s="10">
        <v>0</v>
      </c>
      <c r="Y18" s="10">
        <v>0</v>
      </c>
      <c r="Z18" s="15">
        <v>0</v>
      </c>
      <c r="AA18" s="10">
        <v>0</v>
      </c>
      <c r="AB18" s="10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/>
    </row>
    <row r="19" spans="1:96" ht="15.5" x14ac:dyDescent="0.35">
      <c r="A19" s="7">
        <v>8</v>
      </c>
      <c r="B19" s="11" t="s">
        <v>51</v>
      </c>
      <c r="C19" s="7">
        <f t="shared" si="0"/>
        <v>0</v>
      </c>
      <c r="D19" s="12">
        <f t="shared" ref="D19:E19" si="8">SUM(G19+J19+M19+P19+S19+V19+Y19+AB19+AE19+AH19+AK19+AN19+AQ19+AT19+AW19+AZ19+BC19+BF19+BI19+BL19+BO19+BR19+BU19+BX19+CA19+CD19+CG19+CJ19+CM19+CP19)</f>
        <v>0</v>
      </c>
      <c r="E19" s="12">
        <f t="shared" si="8"/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4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/>
    </row>
    <row r="20" spans="1:96" ht="15.5" x14ac:dyDescent="0.35">
      <c r="A20" s="7">
        <v>9</v>
      </c>
      <c r="B20" s="8" t="s">
        <v>80</v>
      </c>
      <c r="C20" s="9">
        <f t="shared" si="0"/>
        <v>11</v>
      </c>
      <c r="D20" s="9">
        <f t="shared" ref="D20:E20" si="9">SUM(G20+J20+M20+P20+S20+V20+Y20+AB20+AE20+AH20+AK20+AN20+AQ20+AT20+AW20+AZ20+BC20+BF20+BI20+BL20+BO20+BR20+BU20+BX20+CA20+CD20+CG20+CJ20+CM20+CP20)</f>
        <v>567</v>
      </c>
      <c r="E20" s="9">
        <f t="shared" si="9"/>
        <v>56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45</v>
      </c>
      <c r="T20" s="10">
        <v>4</v>
      </c>
      <c r="U20" s="10">
        <v>1</v>
      </c>
      <c r="V20" s="10">
        <v>38</v>
      </c>
      <c r="W20" s="10">
        <v>4</v>
      </c>
      <c r="X20" s="10">
        <v>1</v>
      </c>
      <c r="Y20" s="10">
        <v>35</v>
      </c>
      <c r="Z20" s="10">
        <v>3</v>
      </c>
      <c r="AA20" s="10">
        <v>1</v>
      </c>
      <c r="AB20" s="10">
        <v>40</v>
      </c>
      <c r="AC20" s="10">
        <v>3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70</v>
      </c>
      <c r="AO20" s="10">
        <v>8</v>
      </c>
      <c r="AP20" s="10">
        <v>1</v>
      </c>
      <c r="AQ20" s="10">
        <v>69</v>
      </c>
      <c r="AR20" s="10">
        <v>3</v>
      </c>
      <c r="AS20" s="10">
        <v>1</v>
      </c>
      <c r="AT20" s="10">
        <v>88</v>
      </c>
      <c r="AU20" s="10">
        <v>8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1</v>
      </c>
      <c r="BI20" s="10">
        <v>74</v>
      </c>
      <c r="BJ20" s="10">
        <v>7</v>
      </c>
      <c r="BK20" s="10">
        <v>1</v>
      </c>
      <c r="BL20" s="10">
        <v>14</v>
      </c>
      <c r="BM20" s="10">
        <v>7</v>
      </c>
      <c r="BN20" s="10">
        <v>1</v>
      </c>
      <c r="BO20" s="10">
        <v>74</v>
      </c>
      <c r="BP20" s="10">
        <v>7</v>
      </c>
      <c r="BQ20" s="10">
        <v>1</v>
      </c>
      <c r="BR20" s="10">
        <v>20</v>
      </c>
      <c r="BS20" s="10">
        <v>2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/>
    </row>
    <row r="21" spans="1:96" ht="15.75" customHeight="1" x14ac:dyDescent="0.35">
      <c r="A21" s="7">
        <v>10</v>
      </c>
      <c r="B21" s="11" t="s">
        <v>52</v>
      </c>
      <c r="C21" s="7">
        <f t="shared" si="0"/>
        <v>0</v>
      </c>
      <c r="D21" s="12">
        <f t="shared" ref="D21:E21" si="10">SUM(G21+J21+M21+P21+S21+V21+Y21+AB21+AE21+AH21+AK21+AN21+AQ21+AT21+AW21+AZ21+BC21+BF21+BI21+BL21+BO21+BR21+BU21+BX21+CA21+CD21+CG21+CJ21+CM21+CP21)</f>
        <v>0</v>
      </c>
      <c r="E21" s="12">
        <f t="shared" si="10"/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/>
    </row>
    <row r="22" spans="1:96" ht="15.75" customHeight="1" x14ac:dyDescent="0.35">
      <c r="A22" s="7">
        <v>11</v>
      </c>
      <c r="B22" s="8" t="s">
        <v>53</v>
      </c>
      <c r="C22" s="9">
        <f t="shared" si="0"/>
        <v>0</v>
      </c>
      <c r="D22" s="9">
        <f t="shared" ref="D22:E22" si="11">SUM(G22+J22+M22+P22+S22+V22+Y22+AB22+AE22+AH22+AK22+AN22+AQ22+AT22+AW22+AZ22+BC22+BF22+BI22+BL22+BO22+BR22+BU22+BX22+CA22+CD22+CG22+CJ22+CM22+CP22)</f>
        <v>0</v>
      </c>
      <c r="E22" s="9">
        <f t="shared" si="11"/>
        <v>0</v>
      </c>
      <c r="F22" s="10">
        <v>0</v>
      </c>
      <c r="G22" s="10">
        <v>0</v>
      </c>
      <c r="H22" s="15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/>
    </row>
    <row r="23" spans="1:96" ht="15.75" customHeight="1" x14ac:dyDescent="0.35">
      <c r="A23" s="7">
        <v>12</v>
      </c>
      <c r="B23" s="11" t="s">
        <v>54</v>
      </c>
      <c r="C23" s="7">
        <f t="shared" si="0"/>
        <v>8</v>
      </c>
      <c r="D23" s="12">
        <f t="shared" ref="D23:E23" si="12">SUM(G23+J23+M23+P23+S23+V23+Y23+AB23+AE23+AH23+AK23+AN23+AQ23+AT23+AW23+AZ23+BC23+BF23+BI23+BL23+BO23+BR23+BU23+BX23+CA23+CD23+CG23+CJ23+CM23+CP23)</f>
        <v>479</v>
      </c>
      <c r="E23" s="12">
        <f t="shared" si="12"/>
        <v>48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45</v>
      </c>
      <c r="T23" s="13">
        <v>4</v>
      </c>
      <c r="U23" s="13">
        <v>1</v>
      </c>
      <c r="V23" s="13">
        <v>38</v>
      </c>
      <c r="W23" s="13">
        <v>4</v>
      </c>
      <c r="X23" s="13">
        <v>1</v>
      </c>
      <c r="Y23" s="13">
        <v>35</v>
      </c>
      <c r="Z23" s="13">
        <v>3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1</v>
      </c>
      <c r="AN23" s="13">
        <v>70</v>
      </c>
      <c r="AO23" s="13">
        <v>8</v>
      </c>
      <c r="AP23" s="13">
        <v>1</v>
      </c>
      <c r="AQ23" s="13">
        <v>69</v>
      </c>
      <c r="AR23" s="13">
        <v>8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1</v>
      </c>
      <c r="BI23" s="13">
        <v>74</v>
      </c>
      <c r="BJ23" s="13">
        <v>7</v>
      </c>
      <c r="BK23" s="13">
        <v>1</v>
      </c>
      <c r="BL23" s="13">
        <v>74</v>
      </c>
      <c r="BM23" s="13">
        <v>7</v>
      </c>
      <c r="BN23" s="13">
        <v>1</v>
      </c>
      <c r="BO23" s="13">
        <v>74</v>
      </c>
      <c r="BP23" s="13">
        <v>7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/>
    </row>
    <row r="24" spans="1:96" ht="15.75" customHeight="1" x14ac:dyDescent="0.35">
      <c r="A24" s="7">
        <v>13</v>
      </c>
      <c r="B24" s="8" t="s">
        <v>55</v>
      </c>
      <c r="C24" s="9">
        <f t="shared" si="0"/>
        <v>0</v>
      </c>
      <c r="D24" s="9">
        <f t="shared" ref="D24:E24" si="13">SUM(G24+J24+M24+P24+S24+V24+Y24+AB24+AE24+AH24+AK24+AN24+AQ24+AT24+AW24+AZ24+BC24+BF24+BI24+BL24+BO24+BR24+BU24+BX24+CA24+CD24+CG24+CJ24+CM24+CP24)</f>
        <v>0</v>
      </c>
      <c r="E24" s="9">
        <f t="shared" si="13"/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/>
    </row>
    <row r="25" spans="1:96" ht="15.75" customHeight="1" x14ac:dyDescent="0.35"/>
    <row r="26" spans="1:96" ht="15.75" customHeight="1" x14ac:dyDescent="0.35">
      <c r="B26" s="3" t="s">
        <v>56</v>
      </c>
    </row>
    <row r="27" spans="1:96" ht="15.75" customHeight="1" x14ac:dyDescent="0.35">
      <c r="B27" s="3" t="s">
        <v>57</v>
      </c>
    </row>
    <row r="28" spans="1:96" ht="15" customHeight="1" x14ac:dyDescent="0.35">
      <c r="B28" s="3"/>
      <c r="W28" s="3"/>
      <c r="X28" s="3"/>
      <c r="BL28" s="3"/>
    </row>
    <row r="29" spans="1:96" ht="15.75" customHeight="1" x14ac:dyDescent="0.35">
      <c r="BL29" s="17" t="s">
        <v>58</v>
      </c>
    </row>
    <row r="30" spans="1:96" ht="15.75" customHeight="1" x14ac:dyDescent="0.35">
      <c r="B30" s="3"/>
    </row>
    <row r="31" spans="1:96" ht="15.75" customHeight="1" x14ac:dyDescent="0.35"/>
    <row r="32" spans="1:96" ht="15.75" customHeight="1" x14ac:dyDescent="0.35"/>
    <row r="33" spans="2:69" ht="15.75" customHeight="1" x14ac:dyDescent="0.35"/>
    <row r="34" spans="2:69" ht="15.75" customHeight="1" x14ac:dyDescent="0.35"/>
    <row r="35" spans="2:69" ht="15.75" customHeight="1" x14ac:dyDescent="0.35"/>
    <row r="36" spans="2:69" ht="15.75" customHeight="1" x14ac:dyDescent="0.35"/>
    <row r="37" spans="2:69" ht="15.75" customHeight="1" x14ac:dyDescent="0.35"/>
    <row r="38" spans="2:69" ht="15.75" customHeight="1" x14ac:dyDescent="0.35"/>
    <row r="39" spans="2:69" ht="15.75" customHeight="1" x14ac:dyDescent="0.35"/>
    <row r="40" spans="2:69" ht="15.75" customHeight="1" x14ac:dyDescent="0.35"/>
    <row r="41" spans="2:69" ht="15.75" customHeight="1" x14ac:dyDescent="0.35"/>
    <row r="42" spans="2:69" ht="15.75" customHeight="1" x14ac:dyDescent="0.35"/>
    <row r="43" spans="2:69" ht="15.75" customHeight="1" x14ac:dyDescent="0.35"/>
    <row r="44" spans="2:69" ht="15.75" customHeight="1" x14ac:dyDescent="0.35"/>
    <row r="45" spans="2:69" ht="15.75" customHeight="1" x14ac:dyDescent="0.35"/>
    <row r="46" spans="2:69" ht="15" customHeight="1" x14ac:dyDescent="0.35">
      <c r="B46" s="17" t="s">
        <v>59</v>
      </c>
      <c r="AA46" s="17" t="s">
        <v>60</v>
      </c>
      <c r="BQ46" s="17" t="s">
        <v>58</v>
      </c>
    </row>
    <row r="47" spans="2:69" ht="15.75" customHeight="1" x14ac:dyDescent="0.35"/>
    <row r="48" spans="2:6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1">
    <mergeCell ref="A9:A11"/>
    <mergeCell ref="B9:B11"/>
    <mergeCell ref="C9:C11"/>
    <mergeCell ref="AS10:AU10"/>
    <mergeCell ref="AV10:AX10"/>
    <mergeCell ref="AY10:BA10"/>
    <mergeCell ref="C1:BQ1"/>
    <mergeCell ref="C2:BQ2"/>
    <mergeCell ref="C3:BQ3"/>
    <mergeCell ref="C4:BQ4"/>
    <mergeCell ref="AD10:AF10"/>
    <mergeCell ref="AG10:AI10"/>
    <mergeCell ref="AJ10:AL10"/>
    <mergeCell ref="AM10:AO10"/>
    <mergeCell ref="AP10:AR10"/>
    <mergeCell ref="CF10:CH10"/>
    <mergeCell ref="CI10:CK10"/>
    <mergeCell ref="CL10:CN10"/>
    <mergeCell ref="CO10:CQ10"/>
    <mergeCell ref="D9:D11"/>
    <mergeCell ref="E9:E11"/>
    <mergeCell ref="F9:CR9"/>
    <mergeCell ref="F10:H10"/>
    <mergeCell ref="I10:K10"/>
    <mergeCell ref="L10:N10"/>
    <mergeCell ref="O10:Q10"/>
    <mergeCell ref="F11:G11"/>
    <mergeCell ref="R10:T10"/>
    <mergeCell ref="U10:W10"/>
    <mergeCell ref="X10:Z10"/>
    <mergeCell ref="AA10:AC10"/>
    <mergeCell ref="BQ10:BS10"/>
    <mergeCell ref="BT10:BV10"/>
    <mergeCell ref="BW10:BY10"/>
    <mergeCell ref="BZ10:CB10"/>
    <mergeCell ref="CC10:CE10"/>
    <mergeCell ref="BB10:BD10"/>
    <mergeCell ref="BE10:BG10"/>
    <mergeCell ref="BH10:BJ10"/>
    <mergeCell ref="BK10:BM10"/>
    <mergeCell ref="BN10:BP10"/>
  </mergeCells>
  <pageMargins left="0.7" right="0.7" top="0.75" bottom="0.75" header="0" footer="0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BN31"/>
  <sheetViews>
    <sheetView workbookViewId="0">
      <selection activeCell="B18" sqref="B18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6" width="4.08984375" customWidth="1"/>
    <col min="7" max="7" width="4" customWidth="1"/>
    <col min="8" max="8" width="4.26953125" customWidth="1"/>
    <col min="9" max="10" width="4" customWidth="1"/>
    <col min="11" max="11" width="4.7265625" customWidth="1"/>
    <col min="12" max="12" width="3.81640625" customWidth="1"/>
    <col min="13" max="13" width="4" customWidth="1"/>
    <col min="14" max="14" width="4.81640625" customWidth="1"/>
    <col min="15" max="15" width="3.81640625" customWidth="1"/>
    <col min="16" max="16" width="4" customWidth="1"/>
    <col min="17" max="17" width="4.7265625" customWidth="1"/>
    <col min="18" max="18" width="3.7265625" customWidth="1"/>
    <col min="19" max="19" width="3.54296875" customWidth="1"/>
    <col min="20" max="23" width="4" customWidth="1"/>
    <col min="24" max="24" width="3.26953125" customWidth="1"/>
    <col min="25" max="25" width="4" customWidth="1"/>
    <col min="26" max="27" width="3.26953125" customWidth="1"/>
    <col min="28" max="28" width="4" customWidth="1"/>
    <col min="29" max="30" width="3.26953125" customWidth="1"/>
    <col min="31" max="34" width="4" customWidth="1"/>
    <col min="35" max="35" width="4.08984375" customWidth="1"/>
    <col min="36" max="65" width="4" customWidth="1"/>
    <col min="66" max="66" width="13.81640625" customWidth="1"/>
  </cols>
  <sheetData>
    <row r="1" spans="1:66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66" ht="15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66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</row>
    <row r="4" spans="1:66" ht="15" customHeight="1" x14ac:dyDescent="0.35">
      <c r="C4" s="41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</row>
    <row r="5" spans="1:66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15" customHeight="1" x14ac:dyDescent="0.35">
      <c r="B6" s="3" t="s">
        <v>4</v>
      </c>
      <c r="C6" s="3" t="s">
        <v>5</v>
      </c>
    </row>
    <row r="7" spans="1:66" ht="15" customHeight="1" x14ac:dyDescent="0.35">
      <c r="B7" s="3" t="s">
        <v>6</v>
      </c>
      <c r="C7" s="3" t="s">
        <v>7</v>
      </c>
    </row>
    <row r="9" spans="1:66" ht="14.5" x14ac:dyDescent="0.35">
      <c r="A9" s="42" t="s">
        <v>8</v>
      </c>
      <c r="B9" s="42" t="s">
        <v>9</v>
      </c>
      <c r="C9" s="34" t="s">
        <v>10</v>
      </c>
      <c r="D9" s="34" t="s">
        <v>11</v>
      </c>
      <c r="E9" s="34" t="s">
        <v>12</v>
      </c>
      <c r="F9" s="43" t="s">
        <v>61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3"/>
    </row>
    <row r="10" spans="1:66" ht="14.5" x14ac:dyDescent="0.35">
      <c r="A10" s="35"/>
      <c r="B10" s="35"/>
      <c r="C10" s="35"/>
      <c r="D10" s="35"/>
      <c r="E10" s="35"/>
      <c r="F10" s="31" t="s">
        <v>15</v>
      </c>
      <c r="G10" s="32"/>
      <c r="H10" s="33"/>
      <c r="I10" s="31" t="s">
        <v>18</v>
      </c>
      <c r="J10" s="32"/>
      <c r="K10" s="33"/>
      <c r="L10" s="31" t="s">
        <v>19</v>
      </c>
      <c r="M10" s="32"/>
      <c r="N10" s="33"/>
      <c r="O10" s="31" t="s">
        <v>20</v>
      </c>
      <c r="P10" s="32"/>
      <c r="Q10" s="33"/>
      <c r="R10" s="31" t="s">
        <v>21</v>
      </c>
      <c r="S10" s="32"/>
      <c r="T10" s="33"/>
      <c r="U10" s="31" t="s">
        <v>22</v>
      </c>
      <c r="V10" s="32"/>
      <c r="W10" s="33"/>
      <c r="X10" s="31" t="s">
        <v>25</v>
      </c>
      <c r="Y10" s="32"/>
      <c r="Z10" s="33"/>
      <c r="AA10" s="31" t="s">
        <v>26</v>
      </c>
      <c r="AB10" s="32"/>
      <c r="AC10" s="33"/>
      <c r="AD10" s="31" t="s">
        <v>27</v>
      </c>
      <c r="AE10" s="32"/>
      <c r="AF10" s="33"/>
      <c r="AG10" s="31" t="s">
        <v>28</v>
      </c>
      <c r="AH10" s="32"/>
      <c r="AI10" s="33"/>
      <c r="AJ10" s="31" t="s">
        <v>32</v>
      </c>
      <c r="AK10" s="32"/>
      <c r="AL10" s="33"/>
      <c r="AM10" s="31" t="s">
        <v>33</v>
      </c>
      <c r="AN10" s="32"/>
      <c r="AO10" s="33"/>
      <c r="AP10" s="31" t="s">
        <v>34</v>
      </c>
      <c r="AQ10" s="32"/>
      <c r="AR10" s="33"/>
      <c r="AS10" s="31" t="s">
        <v>35</v>
      </c>
      <c r="AT10" s="32"/>
      <c r="AU10" s="33"/>
      <c r="AV10" s="31" t="s">
        <v>36</v>
      </c>
      <c r="AW10" s="32"/>
      <c r="AX10" s="33"/>
      <c r="AY10" s="31" t="s">
        <v>39</v>
      </c>
      <c r="AZ10" s="32"/>
      <c r="BA10" s="33"/>
      <c r="BB10" s="31" t="s">
        <v>40</v>
      </c>
      <c r="BC10" s="32"/>
      <c r="BD10" s="33"/>
      <c r="BE10" s="31">
        <v>28</v>
      </c>
      <c r="BF10" s="32"/>
      <c r="BG10" s="33"/>
      <c r="BH10" s="31">
        <v>29</v>
      </c>
      <c r="BI10" s="32"/>
      <c r="BJ10" s="33"/>
      <c r="BK10" s="31">
        <v>30</v>
      </c>
      <c r="BL10" s="32"/>
      <c r="BM10" s="33"/>
      <c r="BN10" s="4"/>
    </row>
    <row r="11" spans="1:66" ht="14.5" x14ac:dyDescent="0.35">
      <c r="A11" s="36"/>
      <c r="B11" s="36"/>
      <c r="C11" s="36"/>
      <c r="D11" s="36"/>
      <c r="E11" s="36"/>
      <c r="F11" s="5" t="s">
        <v>41</v>
      </c>
      <c r="G11" s="5" t="s">
        <v>43</v>
      </c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5" t="s">
        <v>41</v>
      </c>
      <c r="BF11" s="5" t="s">
        <v>43</v>
      </c>
      <c r="BG11" s="5" t="s">
        <v>42</v>
      </c>
      <c r="BH11" s="5" t="s">
        <v>41</v>
      </c>
      <c r="BI11" s="5" t="s">
        <v>43</v>
      </c>
      <c r="BJ11" s="5" t="s">
        <v>42</v>
      </c>
      <c r="BK11" s="5" t="s">
        <v>41</v>
      </c>
      <c r="BL11" s="5" t="s">
        <v>43</v>
      </c>
      <c r="BM11" s="5" t="s">
        <v>42</v>
      </c>
      <c r="BN11" s="6" t="s">
        <v>44</v>
      </c>
    </row>
    <row r="12" spans="1:66" ht="15.5" x14ac:dyDescent="0.35">
      <c r="A12" s="18">
        <v>1</v>
      </c>
      <c r="B12" s="8" t="s">
        <v>45</v>
      </c>
      <c r="C12" s="9">
        <f t="shared" ref="C12:C24" si="0">SUM(F12+I12+L12+O12+R12+U12+X12+AA12+AD12+AG12+AJ12+AM12+AP12+AS12+AV12+AY12+BB12+BE12+BH12+BK12+BN12)</f>
        <v>0</v>
      </c>
      <c r="D12" s="9">
        <f t="shared" ref="D12:E12" si="1">SUM(G12+J12+M12+P12+S12+V12+Y12+AB12+AE12+AH12+AK12+AN12+AQ12+AT12+AW12+AZ12+BC12+BF12+BI12+BL12)</f>
        <v>0</v>
      </c>
      <c r="E12" s="9">
        <f t="shared" si="1"/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/>
    </row>
    <row r="13" spans="1:66" ht="15.5" x14ac:dyDescent="0.35">
      <c r="A13" s="7">
        <v>2</v>
      </c>
      <c r="B13" s="11" t="s">
        <v>46</v>
      </c>
      <c r="C13" s="7">
        <f t="shared" si="0"/>
        <v>0</v>
      </c>
      <c r="D13" s="7">
        <f t="shared" ref="D13:E13" si="2">SUM(G13+J13+M13+P13+S13+V13+Y13+AB13+AE13+AH13+AK13+AN13+AQ13+AT13+AW13+AZ13+BC13+BF13+BI13+BL13)</f>
        <v>0</v>
      </c>
      <c r="E13" s="7">
        <f t="shared" si="2"/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4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/>
    </row>
    <row r="14" spans="1:66" ht="15.5" x14ac:dyDescent="0.35">
      <c r="A14" s="18">
        <v>3</v>
      </c>
      <c r="B14" s="8" t="s">
        <v>79</v>
      </c>
      <c r="C14" s="9">
        <f t="shared" si="0"/>
        <v>0</v>
      </c>
      <c r="D14" s="9">
        <f t="shared" ref="D14:E14" si="3">SUM(G14+J14+M14+P14+S14+V14+Y14+AB14+AE14+AH14+AK14+AN14+AQ14+AT14+AW14+AZ14+BC14+BF14+BI14+BL14)</f>
        <v>0</v>
      </c>
      <c r="E14" s="9">
        <f t="shared" si="3"/>
        <v>0</v>
      </c>
      <c r="F14" s="10">
        <v>0</v>
      </c>
      <c r="G14" s="10">
        <v>0</v>
      </c>
      <c r="H14" s="15">
        <v>0</v>
      </c>
      <c r="I14" s="10">
        <v>0</v>
      </c>
      <c r="J14" s="10">
        <v>0</v>
      </c>
      <c r="K14" s="15">
        <v>0</v>
      </c>
      <c r="L14" s="10">
        <v>0</v>
      </c>
      <c r="M14" s="10">
        <v>0</v>
      </c>
      <c r="N14" s="15">
        <v>0</v>
      </c>
      <c r="O14" s="10">
        <v>0</v>
      </c>
      <c r="P14" s="10">
        <v>0</v>
      </c>
      <c r="Q14" s="15">
        <v>0</v>
      </c>
      <c r="R14" s="10">
        <v>0</v>
      </c>
      <c r="S14" s="10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0">
        <v>0</v>
      </c>
      <c r="AW14" s="10">
        <v>0</v>
      </c>
      <c r="AX14" s="15">
        <v>0</v>
      </c>
      <c r="AY14" s="10">
        <v>0</v>
      </c>
      <c r="AZ14" s="10">
        <v>0</v>
      </c>
      <c r="BA14" s="16">
        <v>0</v>
      </c>
      <c r="BB14" s="10">
        <v>0</v>
      </c>
      <c r="BC14" s="10">
        <v>0</v>
      </c>
      <c r="BD14" s="15">
        <v>0</v>
      </c>
      <c r="BE14" s="10">
        <v>0</v>
      </c>
      <c r="BF14" s="10">
        <v>0</v>
      </c>
      <c r="BG14" s="15">
        <v>0</v>
      </c>
      <c r="BH14" s="10">
        <v>0</v>
      </c>
      <c r="BI14" s="10">
        <v>0</v>
      </c>
      <c r="BJ14" s="15">
        <v>0</v>
      </c>
      <c r="BK14" s="10">
        <v>0</v>
      </c>
      <c r="BL14" s="10">
        <v>0</v>
      </c>
      <c r="BM14" s="15">
        <v>0</v>
      </c>
      <c r="BN14" s="10"/>
    </row>
    <row r="15" spans="1:66" ht="15.5" x14ac:dyDescent="0.35">
      <c r="A15" s="7">
        <v>4</v>
      </c>
      <c r="B15" s="11" t="s">
        <v>47</v>
      </c>
      <c r="C15" s="7">
        <f t="shared" si="0"/>
        <v>0</v>
      </c>
      <c r="D15" s="7">
        <f t="shared" ref="D15:E15" si="4">SUM(G15+J15+M15+P15+S15+V15+Y15+AB15+AE15+AH15+AK15+AN15+AQ15+AT15+AW15+AZ15+BC15+BF15+BI15+BL15)</f>
        <v>0</v>
      </c>
      <c r="E15" s="7">
        <f t="shared" si="4"/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4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/>
    </row>
    <row r="16" spans="1:66" ht="15.5" x14ac:dyDescent="0.35">
      <c r="A16" s="18">
        <v>5</v>
      </c>
      <c r="B16" s="8" t="s">
        <v>48</v>
      </c>
      <c r="C16" s="9">
        <f t="shared" si="0"/>
        <v>0</v>
      </c>
      <c r="D16" s="9">
        <f t="shared" ref="D16:E16" si="5">SUM(G16+J16+M16+P16+S16+V16+Y16+AB16+AE16+AH16+AK16+AN16+AQ16+AT16+AW16+AZ16+BC16+BF16+BI16+BL16)</f>
        <v>0</v>
      </c>
      <c r="E16" s="9">
        <f t="shared" si="5"/>
        <v>0</v>
      </c>
      <c r="F16" s="10">
        <v>0</v>
      </c>
      <c r="G16" s="10">
        <v>0</v>
      </c>
      <c r="H16" s="15">
        <v>0</v>
      </c>
      <c r="I16" s="10">
        <v>0</v>
      </c>
      <c r="J16" s="10">
        <v>0</v>
      </c>
      <c r="K16" s="15">
        <v>0</v>
      </c>
      <c r="L16" s="10">
        <v>0</v>
      </c>
      <c r="M16" s="10">
        <v>0</v>
      </c>
      <c r="N16" s="15">
        <v>0</v>
      </c>
      <c r="O16" s="10">
        <v>0</v>
      </c>
      <c r="P16" s="10">
        <v>0</v>
      </c>
      <c r="Q16" s="15">
        <v>0</v>
      </c>
      <c r="R16" s="10">
        <v>0</v>
      </c>
      <c r="S16" s="10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0">
        <v>0</v>
      </c>
      <c r="AK16" s="10">
        <v>0</v>
      </c>
      <c r="AL16" s="15">
        <v>0</v>
      </c>
      <c r="AM16" s="10">
        <v>0</v>
      </c>
      <c r="AN16" s="10">
        <v>0</v>
      </c>
      <c r="AO16" s="15">
        <v>0</v>
      </c>
      <c r="AP16" s="10">
        <v>0</v>
      </c>
      <c r="AQ16" s="10">
        <v>0</v>
      </c>
      <c r="AR16" s="15">
        <v>0</v>
      </c>
      <c r="AS16" s="10">
        <v>0</v>
      </c>
      <c r="AT16" s="10">
        <v>0</v>
      </c>
      <c r="AU16" s="15">
        <v>0</v>
      </c>
      <c r="AV16" s="10">
        <v>0</v>
      </c>
      <c r="AW16" s="10">
        <v>0</v>
      </c>
      <c r="AX16" s="15">
        <v>0</v>
      </c>
      <c r="AY16" s="10">
        <v>0</v>
      </c>
      <c r="AZ16" s="10">
        <v>0</v>
      </c>
      <c r="BA16" s="15">
        <v>0</v>
      </c>
      <c r="BB16" s="10">
        <v>0</v>
      </c>
      <c r="BC16" s="10">
        <v>0</v>
      </c>
      <c r="BD16" s="15">
        <v>0</v>
      </c>
      <c r="BE16" s="10">
        <v>0</v>
      </c>
      <c r="BF16" s="10">
        <v>0</v>
      </c>
      <c r="BG16" s="15">
        <v>0</v>
      </c>
      <c r="BH16" s="10">
        <v>0</v>
      </c>
      <c r="BI16" s="10">
        <v>0</v>
      </c>
      <c r="BJ16" s="15">
        <v>0</v>
      </c>
      <c r="BK16" s="10">
        <v>0</v>
      </c>
      <c r="BL16" s="10">
        <v>0</v>
      </c>
      <c r="BM16" s="15">
        <v>0</v>
      </c>
      <c r="BN16" s="10"/>
    </row>
    <row r="17" spans="1:66" ht="15.5" x14ac:dyDescent="0.35">
      <c r="A17" s="7">
        <v>6</v>
      </c>
      <c r="B17" s="11" t="s">
        <v>49</v>
      </c>
      <c r="C17" s="7">
        <f t="shared" si="0"/>
        <v>0</v>
      </c>
      <c r="D17" s="7">
        <f t="shared" ref="D17:E17" si="6">SUM(G17+J17+M17+P17+S17+V17+Y17+AB17+AE17+AH17+AK17+AN17+AQ17+AT17+AW17+AZ17+BC17+BF17+BI17+BL17)</f>
        <v>0</v>
      </c>
      <c r="E17" s="7">
        <f t="shared" si="6"/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4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/>
    </row>
    <row r="18" spans="1:66" ht="15.5" x14ac:dyDescent="0.35">
      <c r="A18" s="18">
        <v>7</v>
      </c>
      <c r="B18" s="8" t="s">
        <v>50</v>
      </c>
      <c r="C18" s="9">
        <f t="shared" si="0"/>
        <v>0</v>
      </c>
      <c r="D18" s="9">
        <f t="shared" ref="D18:E18" si="7">SUM(G18+J18+M18+P18+S18+V18+Y18+AB18+AE18+AH18+AK18+AN18+AQ18+AT18+AW18+AZ18+BC18+BF18+BI18+BL18)</f>
        <v>0</v>
      </c>
      <c r="E18" s="9">
        <f t="shared" si="7"/>
        <v>0</v>
      </c>
      <c r="F18" s="10">
        <v>0</v>
      </c>
      <c r="G18" s="10">
        <v>0</v>
      </c>
      <c r="H18" s="15">
        <v>0</v>
      </c>
      <c r="I18" s="10">
        <v>0</v>
      </c>
      <c r="J18" s="10">
        <v>0</v>
      </c>
      <c r="K18" s="15">
        <v>0</v>
      </c>
      <c r="L18" s="10">
        <v>0</v>
      </c>
      <c r="M18" s="10">
        <v>0</v>
      </c>
      <c r="N18" s="15">
        <v>0</v>
      </c>
      <c r="O18" s="10">
        <v>0</v>
      </c>
      <c r="P18" s="10">
        <v>0</v>
      </c>
      <c r="Q18" s="15">
        <v>0</v>
      </c>
      <c r="R18" s="10">
        <v>0</v>
      </c>
      <c r="S18" s="10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/>
    </row>
    <row r="19" spans="1:66" ht="15.5" x14ac:dyDescent="0.35">
      <c r="A19" s="7">
        <v>8</v>
      </c>
      <c r="B19" s="11" t="s">
        <v>51</v>
      </c>
      <c r="C19" s="7">
        <f t="shared" si="0"/>
        <v>0</v>
      </c>
      <c r="D19" s="7">
        <f t="shared" ref="D19:E19" si="8">SUM(G19+J19+M19+P19+S19+V19+Y19+AB19+AE19+AH19+AK19+AN19+AQ19+AT19+AW19+AZ19+BC19+BF19+BI19+BL19)</f>
        <v>0</v>
      </c>
      <c r="E19" s="7">
        <f t="shared" si="8"/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4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/>
    </row>
    <row r="20" spans="1:66" ht="15.5" x14ac:dyDescent="0.35">
      <c r="A20" s="18">
        <v>9</v>
      </c>
      <c r="B20" s="8" t="s">
        <v>80</v>
      </c>
      <c r="C20" s="9">
        <f t="shared" si="0"/>
        <v>11</v>
      </c>
      <c r="D20" s="9">
        <f t="shared" ref="D20:E20" si="9">SUM(G20+J20+M20+P20+S20+V20+Y20+AB20+AE20+AH20+AK20+AN20+AQ20+AT20+AW20+AZ20+BC20+BF20+BI20+BL20)</f>
        <v>567</v>
      </c>
      <c r="E20" s="9">
        <f t="shared" si="9"/>
        <v>56</v>
      </c>
      <c r="F20" s="10">
        <v>0</v>
      </c>
      <c r="G20" s="10">
        <v>0</v>
      </c>
      <c r="H20" s="10">
        <v>0</v>
      </c>
      <c r="I20" s="10">
        <v>1</v>
      </c>
      <c r="J20" s="10">
        <v>45</v>
      </c>
      <c r="K20" s="10">
        <v>4</v>
      </c>
      <c r="L20" s="10">
        <v>1</v>
      </c>
      <c r="M20" s="10">
        <v>38</v>
      </c>
      <c r="N20" s="10">
        <v>4</v>
      </c>
      <c r="O20" s="10">
        <v>1</v>
      </c>
      <c r="P20" s="10">
        <v>35</v>
      </c>
      <c r="Q20" s="10">
        <v>3</v>
      </c>
      <c r="R20" s="10">
        <v>1</v>
      </c>
      <c r="S20" s="10">
        <v>40</v>
      </c>
      <c r="T20" s="10">
        <v>3</v>
      </c>
      <c r="U20" s="10">
        <v>0</v>
      </c>
      <c r="V20" s="10">
        <v>0</v>
      </c>
      <c r="W20" s="10">
        <v>0</v>
      </c>
      <c r="X20" s="10">
        <v>1</v>
      </c>
      <c r="Y20" s="10">
        <v>70</v>
      </c>
      <c r="Z20" s="10">
        <v>8</v>
      </c>
      <c r="AA20" s="10">
        <v>1</v>
      </c>
      <c r="AB20" s="10">
        <v>69</v>
      </c>
      <c r="AC20" s="10">
        <v>3</v>
      </c>
      <c r="AD20" s="10">
        <v>1</v>
      </c>
      <c r="AE20" s="10">
        <v>88</v>
      </c>
      <c r="AF20" s="10">
        <v>8</v>
      </c>
      <c r="AG20" s="10">
        <v>0</v>
      </c>
      <c r="AH20" s="10">
        <v>0</v>
      </c>
      <c r="AI20" s="10">
        <v>0</v>
      </c>
      <c r="AJ20" s="10">
        <v>1</v>
      </c>
      <c r="AK20" s="10">
        <v>74</v>
      </c>
      <c r="AL20" s="10">
        <v>7</v>
      </c>
      <c r="AM20" s="10">
        <v>1</v>
      </c>
      <c r="AN20" s="10">
        <v>14</v>
      </c>
      <c r="AO20" s="10">
        <v>7</v>
      </c>
      <c r="AP20" s="10">
        <v>1</v>
      </c>
      <c r="AQ20" s="10">
        <v>74</v>
      </c>
      <c r="AR20" s="10">
        <v>7</v>
      </c>
      <c r="AS20" s="10">
        <v>1</v>
      </c>
      <c r="AT20" s="10">
        <v>20</v>
      </c>
      <c r="AU20" s="10">
        <v>2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/>
    </row>
    <row r="21" spans="1:66" ht="15.5" x14ac:dyDescent="0.35">
      <c r="A21" s="7">
        <v>10</v>
      </c>
      <c r="B21" s="11" t="s">
        <v>52</v>
      </c>
      <c r="C21" s="7">
        <f t="shared" si="0"/>
        <v>0</v>
      </c>
      <c r="D21" s="7">
        <f t="shared" ref="D21:E21" si="10">SUM(G21+J21+M21+P21+S21+V21+Y21+AB21+AE21+AH21+AK21+AN21+AQ21+AT21+AW21+AZ21+BC21+BF21+BI21+BL21)</f>
        <v>0</v>
      </c>
      <c r="E21" s="7">
        <f t="shared" si="10"/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/>
    </row>
    <row r="22" spans="1:66" ht="15.5" x14ac:dyDescent="0.35">
      <c r="A22" s="18">
        <v>11</v>
      </c>
      <c r="B22" s="8" t="s">
        <v>53</v>
      </c>
      <c r="C22" s="9">
        <f t="shared" si="0"/>
        <v>0</v>
      </c>
      <c r="D22" s="9">
        <f t="shared" ref="D22:E22" si="11">SUM(G22+J22+M22+P22+S22+V22+Y22+AB22+AE22+AH22+AK22+AN22+AQ22+AT22+AW22+AZ22+BC22+BF22+BI22+BL22)</f>
        <v>0</v>
      </c>
      <c r="E22" s="9">
        <f t="shared" si="11"/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/>
    </row>
    <row r="23" spans="1:66" ht="15.5" x14ac:dyDescent="0.35">
      <c r="A23" s="7">
        <v>12</v>
      </c>
      <c r="B23" s="11" t="s">
        <v>54</v>
      </c>
      <c r="C23" s="7">
        <f t="shared" si="0"/>
        <v>8</v>
      </c>
      <c r="D23" s="7">
        <f t="shared" ref="D23:E23" si="12">SUM(G23+J23+M23+P23+S23+V23+Y23+AB23+AE23+AH23+AK23+AN23+AQ23+AT23+AW23+AZ23+BC23+BF23+BI23+BL23)</f>
        <v>479</v>
      </c>
      <c r="E23" s="7">
        <f t="shared" si="12"/>
        <v>48</v>
      </c>
      <c r="F23" s="13">
        <v>0</v>
      </c>
      <c r="G23" s="13">
        <v>0</v>
      </c>
      <c r="H23" s="13">
        <v>0</v>
      </c>
      <c r="I23" s="13">
        <v>1</v>
      </c>
      <c r="J23" s="13">
        <v>45</v>
      </c>
      <c r="K23" s="13">
        <v>4</v>
      </c>
      <c r="L23" s="13">
        <v>1</v>
      </c>
      <c r="M23" s="13">
        <v>38</v>
      </c>
      <c r="N23" s="13">
        <v>4</v>
      </c>
      <c r="O23" s="13">
        <v>1</v>
      </c>
      <c r="P23" s="13">
        <v>35</v>
      </c>
      <c r="Q23" s="13">
        <v>3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1</v>
      </c>
      <c r="Y23" s="13">
        <v>70</v>
      </c>
      <c r="Z23" s="13">
        <v>8</v>
      </c>
      <c r="AA23" s="13">
        <v>1</v>
      </c>
      <c r="AB23" s="13">
        <v>69</v>
      </c>
      <c r="AC23" s="13">
        <v>8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1</v>
      </c>
      <c r="AK23" s="13">
        <v>74</v>
      </c>
      <c r="AL23" s="13">
        <v>7</v>
      </c>
      <c r="AM23" s="13">
        <v>1</v>
      </c>
      <c r="AN23" s="13">
        <v>74</v>
      </c>
      <c r="AO23" s="13">
        <v>7</v>
      </c>
      <c r="AP23" s="13">
        <v>1</v>
      </c>
      <c r="AQ23" s="13">
        <v>74</v>
      </c>
      <c r="AR23" s="13">
        <v>7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/>
    </row>
    <row r="24" spans="1:66" ht="15.5" x14ac:dyDescent="0.35">
      <c r="A24" s="18">
        <v>13</v>
      </c>
      <c r="B24" s="8" t="s">
        <v>55</v>
      </c>
      <c r="C24" s="9">
        <f t="shared" si="0"/>
        <v>0</v>
      </c>
      <c r="D24" s="9">
        <f t="shared" ref="D24:E24" si="13">SUM(G24+J24+M24+P24+S24+V24+Y24+AB24+AE24+AH24+AK24+AN24+AQ24+AT24+AW24+AZ24+BC24+BF24+BI24+BL24)</f>
        <v>0</v>
      </c>
      <c r="E24" s="9">
        <f t="shared" si="13"/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/>
    </row>
    <row r="25" spans="1:66" ht="15" customHeight="1" x14ac:dyDescent="0.35">
      <c r="A25" s="3"/>
      <c r="B25" s="19" t="s">
        <v>62</v>
      </c>
      <c r="C25" s="3"/>
    </row>
    <row r="26" spans="1:66" ht="14.5" x14ac:dyDescent="0.35">
      <c r="B26" s="3" t="s">
        <v>56</v>
      </c>
    </row>
    <row r="27" spans="1:66" ht="14.5" x14ac:dyDescent="0.35">
      <c r="B27" s="3" t="s">
        <v>57</v>
      </c>
    </row>
    <row r="28" spans="1:66" ht="15" customHeight="1" x14ac:dyDescent="0.35">
      <c r="B28" s="3" t="s">
        <v>63</v>
      </c>
      <c r="N28" s="3"/>
      <c r="O28" s="3"/>
      <c r="AN28" s="3"/>
    </row>
    <row r="30" spans="1:66" ht="14.5" x14ac:dyDescent="0.35">
      <c r="B30" s="3"/>
    </row>
    <row r="31" spans="1:66" ht="15" customHeight="1" x14ac:dyDescent="0.35">
      <c r="B31" s="17" t="s">
        <v>64</v>
      </c>
      <c r="V31" s="17" t="s">
        <v>60</v>
      </c>
      <c r="AY31" s="17" t="s">
        <v>58</v>
      </c>
    </row>
  </sheetData>
  <mergeCells count="30">
    <mergeCell ref="AV10:AX10"/>
    <mergeCell ref="AY10:BA10"/>
    <mergeCell ref="A9:A11"/>
    <mergeCell ref="B9:B11"/>
    <mergeCell ref="C9:C11"/>
    <mergeCell ref="AP10:AR10"/>
    <mergeCell ref="AS10:AU10"/>
    <mergeCell ref="AG10:AI10"/>
    <mergeCell ref="AJ10:AL10"/>
    <mergeCell ref="AM10:AO10"/>
    <mergeCell ref="C1:AS1"/>
    <mergeCell ref="C2:AS2"/>
    <mergeCell ref="C3:AS3"/>
    <mergeCell ref="C4:AS4"/>
    <mergeCell ref="BB10:BD10"/>
    <mergeCell ref="BE10:BG10"/>
    <mergeCell ref="BH10:BJ10"/>
    <mergeCell ref="BK10:BM10"/>
    <mergeCell ref="D9:D11"/>
    <mergeCell ref="E9:E11"/>
    <mergeCell ref="F9:BN9"/>
    <mergeCell ref="F10:H10"/>
    <mergeCell ref="I10:K10"/>
    <mergeCell ref="L10:N10"/>
    <mergeCell ref="O10:Q10"/>
    <mergeCell ref="R10:T10"/>
    <mergeCell ref="U10:W10"/>
    <mergeCell ref="X10:Z10"/>
    <mergeCell ref="AA10:AC10"/>
    <mergeCell ref="AD10:AF10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U1000"/>
  <sheetViews>
    <sheetView workbookViewId="0"/>
  </sheetViews>
  <sheetFormatPr defaultColWidth="14.453125" defaultRowHeight="15" customHeight="1" x14ac:dyDescent="0.35"/>
  <cols>
    <col min="1" max="1" width="4.453125" customWidth="1"/>
    <col min="2" max="2" width="50" customWidth="1"/>
    <col min="3" max="3" width="7.54296875" customWidth="1"/>
    <col min="4" max="4" width="8.453125" customWidth="1"/>
    <col min="5" max="5" width="7.54296875" customWidth="1"/>
    <col min="6" max="6" width="4.08984375" customWidth="1"/>
    <col min="7" max="7" width="4" customWidth="1"/>
    <col min="8" max="9" width="3.26953125" customWidth="1"/>
    <col min="10" max="10" width="4" customWidth="1"/>
    <col min="11" max="12" width="4.08984375" customWidth="1"/>
    <col min="13" max="16" width="4" customWidth="1"/>
    <col min="17" max="18" width="3.81640625" customWidth="1"/>
    <col min="19" max="19" width="4" customWidth="1"/>
    <col min="20" max="20" width="3.81640625" customWidth="1"/>
    <col min="21" max="25" width="4" customWidth="1"/>
    <col min="26" max="27" width="3.26953125" customWidth="1"/>
    <col min="28" max="28" width="4" customWidth="1"/>
    <col min="29" max="30" width="3.26953125" customWidth="1"/>
    <col min="31" max="31" width="4" customWidth="1"/>
    <col min="32" max="33" width="3.26953125" customWidth="1"/>
    <col min="34" max="34" width="4" customWidth="1"/>
    <col min="35" max="35" width="3.26953125" customWidth="1"/>
    <col min="36" max="68" width="4" customWidth="1"/>
    <col min="69" max="69" width="12.81640625" customWidth="1"/>
    <col min="70" max="73" width="4" customWidth="1"/>
  </cols>
  <sheetData>
    <row r="1" spans="1:73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73" ht="21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</row>
    <row r="3" spans="1:73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</row>
    <row r="4" spans="1:73" ht="15" customHeight="1" x14ac:dyDescent="0.35">
      <c r="C4" s="41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</row>
    <row r="5" spans="1:73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3" ht="15" customHeight="1" x14ac:dyDescent="0.35">
      <c r="B6" s="3" t="s">
        <v>4</v>
      </c>
      <c r="C6" s="3" t="s">
        <v>5</v>
      </c>
    </row>
    <row r="7" spans="1:73" ht="15" customHeight="1" x14ac:dyDescent="0.35">
      <c r="B7" s="3" t="s">
        <v>6</v>
      </c>
      <c r="C7" s="3" t="s">
        <v>65</v>
      </c>
    </row>
    <row r="8" spans="1:73" ht="14.5" x14ac:dyDescent="0.35">
      <c r="C8" s="3" t="s">
        <v>66</v>
      </c>
    </row>
    <row r="9" spans="1:73" ht="14.5" x14ac:dyDescent="0.35">
      <c r="A9" s="42" t="s">
        <v>8</v>
      </c>
      <c r="B9" s="42" t="s">
        <v>9</v>
      </c>
      <c r="C9" s="34" t="s">
        <v>10</v>
      </c>
      <c r="D9" s="34" t="s">
        <v>11</v>
      </c>
      <c r="E9" s="34" t="s">
        <v>12</v>
      </c>
      <c r="F9" s="46" t="s">
        <v>61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3"/>
      <c r="BQ9" s="47" t="s">
        <v>44</v>
      </c>
      <c r="BR9" s="20"/>
      <c r="BS9" s="20"/>
      <c r="BT9" s="20"/>
      <c r="BU9" s="20"/>
    </row>
    <row r="10" spans="1:73" ht="14.5" x14ac:dyDescent="0.35">
      <c r="A10" s="35"/>
      <c r="B10" s="35"/>
      <c r="C10" s="35"/>
      <c r="D10" s="35"/>
      <c r="E10" s="35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3"/>
      <c r="O10" s="31" t="s">
        <v>18</v>
      </c>
      <c r="P10" s="32"/>
      <c r="Q10" s="33"/>
      <c r="R10" s="31" t="s">
        <v>19</v>
      </c>
      <c r="S10" s="32"/>
      <c r="T10" s="33"/>
      <c r="U10" s="31" t="s">
        <v>22</v>
      </c>
      <c r="V10" s="32"/>
      <c r="W10" s="33"/>
      <c r="X10" s="31" t="s">
        <v>23</v>
      </c>
      <c r="Y10" s="32"/>
      <c r="Z10" s="33"/>
      <c r="AA10" s="31" t="s">
        <v>24</v>
      </c>
      <c r="AB10" s="32"/>
      <c r="AC10" s="33"/>
      <c r="AD10" s="31" t="s">
        <v>25</v>
      </c>
      <c r="AE10" s="32"/>
      <c r="AF10" s="33"/>
      <c r="AG10" s="31" t="s">
        <v>26</v>
      </c>
      <c r="AH10" s="32"/>
      <c r="AI10" s="33"/>
      <c r="AJ10" s="31" t="s">
        <v>31</v>
      </c>
      <c r="AK10" s="32"/>
      <c r="AL10" s="33"/>
      <c r="AM10" s="31" t="s">
        <v>32</v>
      </c>
      <c r="AN10" s="32"/>
      <c r="AO10" s="33"/>
      <c r="AP10" s="31" t="s">
        <v>33</v>
      </c>
      <c r="AQ10" s="32"/>
      <c r="AR10" s="33"/>
      <c r="AS10" s="31" t="s">
        <v>34</v>
      </c>
      <c r="AT10" s="32"/>
      <c r="AU10" s="33"/>
      <c r="AV10" s="31" t="s">
        <v>35</v>
      </c>
      <c r="AW10" s="32"/>
      <c r="AX10" s="33"/>
      <c r="AY10" s="31" t="s">
        <v>36</v>
      </c>
      <c r="AZ10" s="32"/>
      <c r="BA10" s="33"/>
      <c r="BB10" s="31" t="s">
        <v>37</v>
      </c>
      <c r="BC10" s="32"/>
      <c r="BD10" s="33"/>
      <c r="BE10" s="31" t="s">
        <v>38</v>
      </c>
      <c r="BF10" s="32"/>
      <c r="BG10" s="33"/>
      <c r="BH10" s="31" t="s">
        <v>39</v>
      </c>
      <c r="BI10" s="32"/>
      <c r="BJ10" s="33"/>
      <c r="BK10" s="31" t="s">
        <v>40</v>
      </c>
      <c r="BL10" s="32"/>
      <c r="BM10" s="33"/>
      <c r="BN10" s="31">
        <v>28</v>
      </c>
      <c r="BO10" s="32"/>
      <c r="BP10" s="33"/>
      <c r="BQ10" s="35"/>
      <c r="BR10" s="44"/>
      <c r="BS10" s="45"/>
      <c r="BT10" s="44"/>
      <c r="BU10" s="45"/>
    </row>
    <row r="11" spans="1:73" ht="14.5" x14ac:dyDescent="0.35">
      <c r="A11" s="36"/>
      <c r="B11" s="36"/>
      <c r="C11" s="36"/>
      <c r="D11" s="36"/>
      <c r="E11" s="36"/>
      <c r="F11" s="5" t="s">
        <v>41</v>
      </c>
      <c r="G11" s="5" t="s">
        <v>43</v>
      </c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5" t="s">
        <v>41</v>
      </c>
      <c r="BF11" s="5" t="s">
        <v>43</v>
      </c>
      <c r="BG11" s="5" t="s">
        <v>42</v>
      </c>
      <c r="BH11" s="5" t="s">
        <v>41</v>
      </c>
      <c r="BI11" s="5" t="s">
        <v>43</v>
      </c>
      <c r="BJ11" s="5" t="s">
        <v>42</v>
      </c>
      <c r="BK11" s="5" t="s">
        <v>41</v>
      </c>
      <c r="BL11" s="5" t="s">
        <v>43</v>
      </c>
      <c r="BM11" s="5" t="s">
        <v>42</v>
      </c>
      <c r="BN11" s="5" t="s">
        <v>41</v>
      </c>
      <c r="BO11" s="5" t="s">
        <v>43</v>
      </c>
      <c r="BP11" s="5" t="s">
        <v>42</v>
      </c>
      <c r="BQ11" s="36"/>
      <c r="BR11" s="21"/>
      <c r="BS11" s="21"/>
      <c r="BT11" s="21"/>
      <c r="BU11" s="21"/>
    </row>
    <row r="12" spans="1:73" ht="15.5" x14ac:dyDescent="0.35">
      <c r="A12" s="18">
        <v>1</v>
      </c>
      <c r="B12" s="22" t="s">
        <v>45</v>
      </c>
      <c r="C12" s="23">
        <f t="shared" ref="C12:D12" si="0">SUM(+F12+I12+L12+O12+R12+U12+X12+AA12+AD12+AG12+AJ12+AM12+AP12+AS12+AV12+AY12+BB12+BE12+BH12+BK12+BN12+BP12+BR12+BT12)</f>
        <v>0</v>
      </c>
      <c r="D12" s="23">
        <f t="shared" si="0"/>
        <v>0</v>
      </c>
      <c r="E12" s="23">
        <f t="shared" ref="E12:E24" si="1">SUM(+H12+K12+N12+Q12+T12+W12+Z12+AC12+AF12+AI12+AL12+AO12+AR12+AU12+AX12+BA12+BD12+BG12+BJ12+BM12+BP12)</f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/>
      <c r="BR12" s="21"/>
      <c r="BS12" s="21"/>
      <c r="BT12" s="21"/>
      <c r="BU12" s="21"/>
    </row>
    <row r="13" spans="1:73" ht="15.5" x14ac:dyDescent="0.35">
      <c r="A13" s="7">
        <v>2</v>
      </c>
      <c r="B13" s="24" t="s">
        <v>46</v>
      </c>
      <c r="C13" s="7">
        <f t="shared" ref="C13:D13" si="2">SUM(+F13+I13+L13+O13+R13+U13+X13+AA13+AD13+AG13+AJ13+AM13+AP13+AS13+AV13+AY13+BB13+BE13+BH13+BK13+BN13+BP13+BR13+BT13)</f>
        <v>0</v>
      </c>
      <c r="D13" s="7">
        <f t="shared" si="2"/>
        <v>0</v>
      </c>
      <c r="E13" s="7">
        <f t="shared" si="1"/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/>
      <c r="BR13" s="21"/>
      <c r="BS13" s="21"/>
      <c r="BT13" s="21"/>
      <c r="BU13" s="21"/>
    </row>
    <row r="14" spans="1:73" ht="15.5" x14ac:dyDescent="0.35">
      <c r="A14" s="18">
        <v>3</v>
      </c>
      <c r="B14" s="22" t="s">
        <v>79</v>
      </c>
      <c r="C14" s="23">
        <f t="shared" ref="C14:D14" si="3">SUM(+F14+I14+L14+O14+R14+U14+X14+AA14+AD14+AG14+AJ14+AM14+AP14+AS14+AV14+AY14+BB14+BE14+BH14+BK14+BN14+BP14+BR14+BT14)</f>
        <v>0</v>
      </c>
      <c r="D14" s="23">
        <f t="shared" si="3"/>
        <v>0</v>
      </c>
      <c r="E14" s="23">
        <f t="shared" si="1"/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/>
      <c r="BR14" s="21"/>
      <c r="BS14" s="21"/>
      <c r="BT14" s="21"/>
      <c r="BU14" s="21"/>
    </row>
    <row r="15" spans="1:73" ht="15.5" x14ac:dyDescent="0.35">
      <c r="A15" s="7">
        <v>4</v>
      </c>
      <c r="B15" s="24" t="s">
        <v>47</v>
      </c>
      <c r="C15" s="7">
        <f t="shared" ref="C15:D15" si="4">SUM(+F15+I15+L15+O15+R15+U15+X15+AA15+AD15+AG15+AJ15+AM15+AP15+AS15+AV15+AY15+BB15+BE15+BH15+BK15+BN15+BP15+BR15+BT15)</f>
        <v>3</v>
      </c>
      <c r="D15" s="7">
        <f t="shared" si="4"/>
        <v>55</v>
      </c>
      <c r="E15" s="7">
        <f t="shared" si="1"/>
        <v>7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1</v>
      </c>
      <c r="AB15" s="14">
        <v>24</v>
      </c>
      <c r="AC15" s="14">
        <v>3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1</v>
      </c>
      <c r="BC15" s="14">
        <v>24</v>
      </c>
      <c r="BD15" s="14">
        <v>2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1</v>
      </c>
      <c r="BL15" s="14">
        <v>7</v>
      </c>
      <c r="BM15" s="14">
        <v>2</v>
      </c>
      <c r="BN15" s="14">
        <v>0</v>
      </c>
      <c r="BO15" s="14">
        <v>0</v>
      </c>
      <c r="BP15" s="14">
        <v>0</v>
      </c>
      <c r="BQ15" s="14"/>
      <c r="BR15" s="21"/>
      <c r="BS15" s="21"/>
      <c r="BT15" s="21"/>
      <c r="BU15" s="21"/>
    </row>
    <row r="16" spans="1:73" ht="15.5" x14ac:dyDescent="0.35">
      <c r="A16" s="18">
        <v>5</v>
      </c>
      <c r="B16" s="22" t="s">
        <v>48</v>
      </c>
      <c r="C16" s="23">
        <f t="shared" ref="C16:D16" si="5">SUM(+F16+I16+L16+O16+R16+U16+X16+AA16+AD16+AG16+AJ16+AM16+AP16+AS16+AV16+AY16+BB16+BE16+BH16+BK16+BN16+BP16+BR16+BT16)</f>
        <v>0</v>
      </c>
      <c r="D16" s="23">
        <f t="shared" si="5"/>
        <v>0</v>
      </c>
      <c r="E16" s="23">
        <f t="shared" si="1"/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/>
      <c r="BR16" s="21"/>
      <c r="BS16" s="21"/>
      <c r="BT16" s="21"/>
      <c r="BU16" s="21"/>
    </row>
    <row r="17" spans="1:73" ht="15.5" x14ac:dyDescent="0.35">
      <c r="A17" s="7">
        <v>6</v>
      </c>
      <c r="B17" s="24" t="s">
        <v>49</v>
      </c>
      <c r="C17" s="7">
        <f t="shared" ref="C17:D17" si="6">SUM(+F17+I17+L17+O17+R17+U17+X17+AA17+AD17+AG17+AJ17+AM17+AP17+AS17+AV17+AY17+BB17+BE17+BH17+BK17+BN17+BP17+BR17+BT17)</f>
        <v>2</v>
      </c>
      <c r="D17" s="7">
        <f t="shared" si="6"/>
        <v>10</v>
      </c>
      <c r="E17" s="7">
        <f t="shared" si="1"/>
        <v>5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1</v>
      </c>
      <c r="S17" s="14">
        <v>6</v>
      </c>
      <c r="T17" s="14">
        <v>3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1</v>
      </c>
      <c r="AQ17" s="14">
        <v>4</v>
      </c>
      <c r="AR17" s="14">
        <v>2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/>
      <c r="BR17" s="21"/>
      <c r="BS17" s="21"/>
      <c r="BT17" s="21"/>
      <c r="BU17" s="21"/>
    </row>
    <row r="18" spans="1:73" ht="15.5" x14ac:dyDescent="0.35">
      <c r="A18" s="18">
        <v>7</v>
      </c>
      <c r="B18" s="22" t="s">
        <v>50</v>
      </c>
      <c r="C18" s="23">
        <f t="shared" ref="C18:D18" si="7">SUM(+F18+I18+L18+O18+R18+U18+X18+AA18+AD18+AG18+AJ18+AM18+AP18+AS18+AV18+AY18+BB18+BE18+BH18+BK18+BN18+BP18+BR18+BT18)</f>
        <v>4</v>
      </c>
      <c r="D18" s="23">
        <f t="shared" si="7"/>
        <v>65</v>
      </c>
      <c r="E18" s="23">
        <f t="shared" si="1"/>
        <v>6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1</v>
      </c>
      <c r="AK18" s="15">
        <v>24</v>
      </c>
      <c r="AL18" s="15">
        <v>2</v>
      </c>
      <c r="AM18" s="15">
        <v>1</v>
      </c>
      <c r="AN18" s="15">
        <v>17</v>
      </c>
      <c r="AO18" s="15">
        <v>2</v>
      </c>
      <c r="AP18" s="15">
        <v>2</v>
      </c>
      <c r="AQ18" s="15">
        <v>24</v>
      </c>
      <c r="AR18" s="15">
        <v>2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/>
      <c r="BR18" s="21"/>
      <c r="BS18" s="21"/>
      <c r="BT18" s="21"/>
      <c r="BU18" s="21"/>
    </row>
    <row r="19" spans="1:73" ht="15.5" x14ac:dyDescent="0.35">
      <c r="A19" s="7">
        <v>8</v>
      </c>
      <c r="B19" s="11" t="s">
        <v>51</v>
      </c>
      <c r="C19" s="7">
        <f t="shared" ref="C19:D19" si="8">SUM(+F19+I19+L19+O19+R19+U19+X19+AA19+AD19+AG19+AJ19+AM19+AP19+AS19+AV19+AY19+BB19+BE19+BH19+BK19+BN19+BP19+BR19+BT19)</f>
        <v>0</v>
      </c>
      <c r="D19" s="7">
        <f t="shared" si="8"/>
        <v>0</v>
      </c>
      <c r="E19" s="7">
        <f t="shared" si="1"/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/>
      <c r="BR19" s="21"/>
      <c r="BS19" s="21"/>
      <c r="BT19" s="21"/>
      <c r="BU19" s="21"/>
    </row>
    <row r="20" spans="1:73" ht="15.5" x14ac:dyDescent="0.35">
      <c r="A20" s="18">
        <v>9</v>
      </c>
      <c r="B20" s="22" t="s">
        <v>80</v>
      </c>
      <c r="C20" s="23">
        <f t="shared" ref="C20:D20" si="9">SUM(+F20+I20+L20+O20+R20+U20+X20+AA20+AD20+AG20+AJ20+AM20+AP20+AS20+AV20+AY20+BB20+BE20+BH20+BK20+BN20+BP20+BR20+BT20)</f>
        <v>12</v>
      </c>
      <c r="D20" s="23">
        <f t="shared" si="9"/>
        <v>660</v>
      </c>
      <c r="E20" s="23">
        <f t="shared" si="1"/>
        <v>62</v>
      </c>
      <c r="F20" s="15">
        <v>0</v>
      </c>
      <c r="G20" s="15">
        <v>0</v>
      </c>
      <c r="H20" s="15">
        <v>0</v>
      </c>
      <c r="I20" s="15">
        <v>1</v>
      </c>
      <c r="J20" s="15">
        <v>50</v>
      </c>
      <c r="K20" s="15">
        <v>4</v>
      </c>
      <c r="L20" s="15">
        <v>1</v>
      </c>
      <c r="M20" s="15">
        <v>40</v>
      </c>
      <c r="N20" s="15">
        <v>4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5">
        <v>90</v>
      </c>
      <c r="W20" s="15">
        <v>7</v>
      </c>
      <c r="X20" s="15">
        <v>1</v>
      </c>
      <c r="Y20" s="15">
        <v>90</v>
      </c>
      <c r="Z20" s="15">
        <v>7</v>
      </c>
      <c r="AA20" s="15">
        <v>1</v>
      </c>
      <c r="AB20" s="15">
        <v>90</v>
      </c>
      <c r="AC20" s="15">
        <v>7</v>
      </c>
      <c r="AD20" s="15">
        <v>1</v>
      </c>
      <c r="AE20" s="15">
        <v>59</v>
      </c>
      <c r="AF20" s="15">
        <v>7</v>
      </c>
      <c r="AG20" s="15">
        <v>0</v>
      </c>
      <c r="AH20" s="15">
        <v>0</v>
      </c>
      <c r="AI20" s="15">
        <v>0</v>
      </c>
      <c r="AJ20" s="15">
        <v>1</v>
      </c>
      <c r="AK20" s="15">
        <v>17</v>
      </c>
      <c r="AL20" s="15">
        <v>3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2</v>
      </c>
      <c r="AZ20" s="15">
        <v>89</v>
      </c>
      <c r="BA20" s="15">
        <v>8</v>
      </c>
      <c r="BB20" s="15">
        <v>1</v>
      </c>
      <c r="BC20" s="15">
        <v>45</v>
      </c>
      <c r="BD20" s="15">
        <v>5</v>
      </c>
      <c r="BE20" s="15">
        <v>1</v>
      </c>
      <c r="BF20" s="15">
        <v>45</v>
      </c>
      <c r="BG20" s="15">
        <v>5</v>
      </c>
      <c r="BH20" s="15">
        <v>1</v>
      </c>
      <c r="BI20" s="15">
        <v>45</v>
      </c>
      <c r="BJ20" s="15">
        <v>5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/>
      <c r="BR20" s="21"/>
      <c r="BS20" s="21"/>
      <c r="BT20" s="21"/>
      <c r="BU20" s="21"/>
    </row>
    <row r="21" spans="1:73" ht="15.75" customHeight="1" x14ac:dyDescent="0.35">
      <c r="A21" s="12">
        <v>10</v>
      </c>
      <c r="B21" s="24" t="s">
        <v>52</v>
      </c>
      <c r="C21" s="7">
        <f t="shared" ref="C21:D21" si="10">SUM(+F21+I21+L21+O21+R21+U21+X21+AA21+AD21+AG21+AJ21+AM21+AP21+AS21+AV21+AY21+BB21+BE21+BH21+BK21+BN21+BP21+BR21+BT21)</f>
        <v>0</v>
      </c>
      <c r="D21" s="7">
        <f t="shared" si="10"/>
        <v>0</v>
      </c>
      <c r="E21" s="7">
        <f t="shared" si="1"/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/>
      <c r="BR21" s="21"/>
      <c r="BS21" s="21"/>
      <c r="BT21" s="21"/>
      <c r="BU21" s="21"/>
    </row>
    <row r="22" spans="1:73" ht="15.75" customHeight="1" x14ac:dyDescent="0.35">
      <c r="A22" s="18">
        <v>11</v>
      </c>
      <c r="B22" s="22" t="s">
        <v>53</v>
      </c>
      <c r="C22" s="23">
        <f t="shared" ref="C22:D22" si="11">SUM(+F22+I22+L22+O22+R22+U22+X22+AA22+AD22+AG22+AJ22+AM22+AP22+AS22+AV22+AY22+BB22+BE22+BH22+BK22+BN22+BP22+BR22+BT22)</f>
        <v>0</v>
      </c>
      <c r="D22" s="23">
        <f t="shared" si="11"/>
        <v>0</v>
      </c>
      <c r="E22" s="23">
        <f t="shared" si="1"/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/>
      <c r="BR22" s="21"/>
      <c r="BS22" s="21"/>
      <c r="BT22" s="21"/>
      <c r="BU22" s="21"/>
    </row>
    <row r="23" spans="1:73" ht="15.75" customHeight="1" x14ac:dyDescent="0.35">
      <c r="A23" s="7">
        <v>12</v>
      </c>
      <c r="B23" s="24" t="s">
        <v>54</v>
      </c>
      <c r="C23" s="7">
        <f t="shared" ref="C23:D23" si="12">SUM(+F23+I23+L23+O23+R23+U23+X23+AA23+AD23+AG23+AJ23+AM23+AP23+AS23+AV23+AY23+BB23+BE23+BH23+BK23+BN23+BP23+BR23+BT23)</f>
        <v>8</v>
      </c>
      <c r="D23" s="7">
        <f t="shared" si="12"/>
        <v>509</v>
      </c>
      <c r="E23" s="7">
        <f t="shared" si="1"/>
        <v>53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1</v>
      </c>
      <c r="V23" s="14">
        <v>90</v>
      </c>
      <c r="W23" s="14">
        <v>7</v>
      </c>
      <c r="X23" s="14">
        <v>1</v>
      </c>
      <c r="Y23" s="14">
        <v>90</v>
      </c>
      <c r="Z23" s="14">
        <v>7</v>
      </c>
      <c r="AA23" s="14">
        <v>1</v>
      </c>
      <c r="AB23" s="14">
        <v>90</v>
      </c>
      <c r="AC23" s="14">
        <v>7</v>
      </c>
      <c r="AD23" s="14">
        <v>1</v>
      </c>
      <c r="AE23" s="14">
        <v>59</v>
      </c>
      <c r="AF23" s="14">
        <v>7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1</v>
      </c>
      <c r="AZ23" s="14">
        <v>45</v>
      </c>
      <c r="BA23" s="14">
        <v>5</v>
      </c>
      <c r="BB23" s="14">
        <v>1</v>
      </c>
      <c r="BC23" s="14">
        <v>45</v>
      </c>
      <c r="BD23" s="14">
        <v>5</v>
      </c>
      <c r="BE23" s="14">
        <v>1</v>
      </c>
      <c r="BF23" s="14">
        <v>45</v>
      </c>
      <c r="BG23" s="14">
        <v>5</v>
      </c>
      <c r="BH23" s="14">
        <v>1</v>
      </c>
      <c r="BI23" s="14">
        <v>45</v>
      </c>
      <c r="BJ23" s="14">
        <v>5</v>
      </c>
      <c r="BK23" s="14">
        <v>0</v>
      </c>
      <c r="BL23" s="14">
        <v>0</v>
      </c>
      <c r="BM23" s="14">
        <v>5</v>
      </c>
      <c r="BN23" s="14">
        <v>0</v>
      </c>
      <c r="BO23" s="14">
        <v>0</v>
      </c>
      <c r="BP23" s="14">
        <v>0</v>
      </c>
      <c r="BQ23" s="14"/>
      <c r="BR23" s="21"/>
      <c r="BS23" s="21"/>
      <c r="BT23" s="21"/>
      <c r="BU23" s="21"/>
    </row>
    <row r="24" spans="1:73" ht="15.75" customHeight="1" x14ac:dyDescent="0.35">
      <c r="A24" s="18">
        <v>13</v>
      </c>
      <c r="B24" s="22" t="s">
        <v>55</v>
      </c>
      <c r="C24" s="23">
        <f t="shared" ref="C24:D24" si="13">SUM(+F24+I24+L24+O24+R24+U24+X24+AA24+AD24+AG24+AJ24+AM24+AP24+AS24+AV24+AY24+BB24+BE24+BH24+BK24+BN24+BP24+BR24+BT24)</f>
        <v>0</v>
      </c>
      <c r="D24" s="23">
        <f t="shared" si="13"/>
        <v>0</v>
      </c>
      <c r="E24" s="23">
        <f t="shared" si="1"/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/>
      <c r="BR24" s="21"/>
      <c r="BS24" s="21"/>
      <c r="BT24" s="21"/>
      <c r="BU24" s="21"/>
    </row>
    <row r="25" spans="1:73" ht="15.75" customHeight="1" x14ac:dyDescent="0.35">
      <c r="A25" s="20"/>
      <c r="B25" s="19" t="s">
        <v>62</v>
      </c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5"/>
      <c r="BT25" s="25"/>
      <c r="BU25" s="25"/>
    </row>
    <row r="26" spans="1:73" ht="15.75" customHeight="1" x14ac:dyDescent="0.35">
      <c r="B26" s="3" t="s">
        <v>56</v>
      </c>
      <c r="E26" s="26"/>
      <c r="AR26" s="3"/>
      <c r="AS26" s="3"/>
      <c r="BP26" s="3" t="s">
        <v>67</v>
      </c>
    </row>
    <row r="27" spans="1:73" ht="15.75" customHeight="1" x14ac:dyDescent="0.35">
      <c r="B27" s="3" t="s">
        <v>57</v>
      </c>
      <c r="E27" s="26"/>
    </row>
    <row r="28" spans="1:73" ht="15" customHeight="1" x14ac:dyDescent="0.35">
      <c r="B28" s="3" t="s">
        <v>63</v>
      </c>
      <c r="E28" s="26"/>
      <c r="T28" s="3"/>
      <c r="AQ28" s="3"/>
    </row>
    <row r="29" spans="1:73" ht="15.75" customHeight="1" x14ac:dyDescent="0.35"/>
    <row r="30" spans="1:73" ht="15.75" customHeight="1" x14ac:dyDescent="0.35">
      <c r="B30" s="17" t="s">
        <v>68</v>
      </c>
    </row>
    <row r="31" spans="1:73" ht="15.75" customHeight="1" x14ac:dyDescent="0.35">
      <c r="B31" s="17" t="s">
        <v>69</v>
      </c>
      <c r="X31" s="17" t="s">
        <v>60</v>
      </c>
      <c r="BB31" s="17" t="s">
        <v>58</v>
      </c>
    </row>
    <row r="32" spans="1:7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34">
    <mergeCell ref="AY10:BA10"/>
    <mergeCell ref="A9:A11"/>
    <mergeCell ref="B9:B11"/>
    <mergeCell ref="C9:C11"/>
    <mergeCell ref="AS10:AU10"/>
    <mergeCell ref="AM10:AO10"/>
    <mergeCell ref="AP10:AR10"/>
    <mergeCell ref="AJ10:AL10"/>
    <mergeCell ref="C1:AV1"/>
    <mergeCell ref="C2:AV2"/>
    <mergeCell ref="C3:AV3"/>
    <mergeCell ref="C4:AV4"/>
    <mergeCell ref="AV10:AX10"/>
    <mergeCell ref="BR10:BS10"/>
    <mergeCell ref="BT10:BU10"/>
    <mergeCell ref="D9:D11"/>
    <mergeCell ref="E9:E11"/>
    <mergeCell ref="F9:BP9"/>
    <mergeCell ref="BQ9:BQ11"/>
    <mergeCell ref="F10:H10"/>
    <mergeCell ref="I10:K10"/>
    <mergeCell ref="L10:N10"/>
    <mergeCell ref="O10:Q10"/>
    <mergeCell ref="R10:T10"/>
    <mergeCell ref="U10:W10"/>
    <mergeCell ref="X10:Z10"/>
    <mergeCell ref="AA10:AC10"/>
    <mergeCell ref="AD10:AF10"/>
    <mergeCell ref="AG10:AI10"/>
    <mergeCell ref="BB10:BD10"/>
    <mergeCell ref="BE10:BG10"/>
    <mergeCell ref="BH10:BJ10"/>
    <mergeCell ref="BK10:BM10"/>
    <mergeCell ref="BN10:BP10"/>
  </mergeCells>
  <pageMargins left="0.7" right="0.7" top="0.75" bottom="0.75" header="0" footer="0"/>
  <pageSetup paperSize="9"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CI1000"/>
  <sheetViews>
    <sheetView workbookViewId="0"/>
  </sheetViews>
  <sheetFormatPr defaultColWidth="14.453125" defaultRowHeight="15" customHeight="1" x14ac:dyDescent="0.35"/>
  <cols>
    <col min="1" max="1" width="4.453125" customWidth="1"/>
    <col min="2" max="2" width="46.54296875" customWidth="1"/>
    <col min="3" max="3" width="18.26953125" customWidth="1"/>
    <col min="4" max="4" width="21.54296875" customWidth="1"/>
    <col min="5" max="5" width="7.54296875" customWidth="1"/>
    <col min="6" max="8" width="4" customWidth="1"/>
    <col min="9" max="9" width="4.08984375" customWidth="1"/>
    <col min="10" max="11" width="4" customWidth="1"/>
    <col min="12" max="12" width="3.26953125" customWidth="1"/>
    <col min="13" max="14" width="4" customWidth="1"/>
    <col min="15" max="15" width="4.08984375" customWidth="1"/>
    <col min="16" max="20" width="4" customWidth="1"/>
    <col min="21" max="21" width="3.81640625" customWidth="1"/>
    <col min="22" max="23" width="4" customWidth="1"/>
    <col min="24" max="24" width="3.81640625" customWidth="1"/>
    <col min="25" max="26" width="4" customWidth="1"/>
    <col min="27" max="27" width="3.7265625" customWidth="1"/>
    <col min="28" max="29" width="3.54296875" customWidth="1"/>
    <col min="30" max="35" width="4" customWidth="1"/>
    <col min="36" max="36" width="3.26953125" customWidth="1"/>
    <col min="37" max="38" width="4" customWidth="1"/>
    <col min="39" max="39" width="3.26953125" customWidth="1"/>
    <col min="40" max="41" width="4" customWidth="1"/>
    <col min="42" max="42" width="3.26953125" customWidth="1"/>
    <col min="43" max="44" width="4" customWidth="1"/>
    <col min="45" max="45" width="3.26953125" customWidth="1"/>
    <col min="46" max="50" width="4" customWidth="1"/>
    <col min="51" max="51" width="4.08984375" customWidth="1"/>
    <col min="52" max="56" width="4" customWidth="1"/>
    <col min="57" max="57" width="5.7265625" customWidth="1"/>
    <col min="58" max="58" width="12.26953125" customWidth="1"/>
    <col min="59" max="86" width="4" customWidth="1"/>
  </cols>
  <sheetData>
    <row r="1" spans="1:87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</row>
    <row r="2" spans="1:87" ht="15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</row>
    <row r="3" spans="1:87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</row>
    <row r="4" spans="1:87" ht="15" customHeight="1" x14ac:dyDescent="0.35">
      <c r="C4" s="56" t="s">
        <v>3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</row>
    <row r="5" spans="1:87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7" ht="15" customHeight="1" x14ac:dyDescent="0.35">
      <c r="B6" s="3" t="s">
        <v>4</v>
      </c>
      <c r="C6" s="3" t="s">
        <v>5</v>
      </c>
    </row>
    <row r="7" spans="1:87" ht="15" customHeight="1" x14ac:dyDescent="0.35">
      <c r="B7" s="3" t="s">
        <v>6</v>
      </c>
      <c r="C7" s="3" t="s">
        <v>70</v>
      </c>
    </row>
    <row r="9" spans="1:87" ht="14.5" x14ac:dyDescent="0.35">
      <c r="A9" s="42" t="s">
        <v>8</v>
      </c>
      <c r="B9" s="42" t="s">
        <v>9</v>
      </c>
      <c r="C9" s="58" t="s">
        <v>10</v>
      </c>
      <c r="D9" s="58" t="s">
        <v>11</v>
      </c>
      <c r="E9" s="64" t="s">
        <v>12</v>
      </c>
      <c r="F9" s="31" t="s">
        <v>13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3"/>
      <c r="BE9" s="48" t="s">
        <v>44</v>
      </c>
      <c r="BF9" s="49"/>
      <c r="BG9" s="21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7"/>
      <c r="CD9" s="27"/>
      <c r="CE9" s="20"/>
      <c r="CF9" s="20"/>
      <c r="CG9" s="20"/>
      <c r="CH9" s="20"/>
    </row>
    <row r="10" spans="1:87" ht="14.5" x14ac:dyDescent="0.35">
      <c r="A10" s="35"/>
      <c r="B10" s="35"/>
      <c r="C10" s="35"/>
      <c r="D10" s="35"/>
      <c r="E10" s="65"/>
      <c r="F10" s="52" t="s">
        <v>14</v>
      </c>
      <c r="G10" s="53"/>
      <c r="H10" s="54"/>
      <c r="I10" s="55" t="s">
        <v>15</v>
      </c>
      <c r="J10" s="53"/>
      <c r="K10" s="54"/>
      <c r="L10" s="55" t="s">
        <v>16</v>
      </c>
      <c r="M10" s="53"/>
      <c r="N10" s="54"/>
      <c r="O10" s="55" t="s">
        <v>17</v>
      </c>
      <c r="P10" s="53"/>
      <c r="Q10" s="54"/>
      <c r="R10" s="55" t="s">
        <v>18</v>
      </c>
      <c r="S10" s="53"/>
      <c r="T10" s="54"/>
      <c r="U10" s="55" t="s">
        <v>19</v>
      </c>
      <c r="V10" s="53"/>
      <c r="W10" s="54"/>
      <c r="X10" s="55">
        <v>9</v>
      </c>
      <c r="Y10" s="53"/>
      <c r="Z10" s="54"/>
      <c r="AA10" s="55">
        <v>10</v>
      </c>
      <c r="AB10" s="53"/>
      <c r="AC10" s="54"/>
      <c r="AD10" s="55">
        <v>11</v>
      </c>
      <c r="AE10" s="53"/>
      <c r="AF10" s="54"/>
      <c r="AG10" s="55">
        <v>12</v>
      </c>
      <c r="AH10" s="53"/>
      <c r="AI10" s="54"/>
      <c r="AJ10" s="55">
        <v>13</v>
      </c>
      <c r="AK10" s="53"/>
      <c r="AL10" s="54"/>
      <c r="AM10" s="55">
        <v>16</v>
      </c>
      <c r="AN10" s="53"/>
      <c r="AO10" s="54"/>
      <c r="AP10" s="55">
        <v>25</v>
      </c>
      <c r="AQ10" s="53"/>
      <c r="AR10" s="54"/>
      <c r="AS10" s="55">
        <v>26</v>
      </c>
      <c r="AT10" s="53"/>
      <c r="AU10" s="54"/>
      <c r="AV10" s="55">
        <v>27</v>
      </c>
      <c r="AW10" s="53"/>
      <c r="AX10" s="54"/>
      <c r="AY10" s="55">
        <v>30</v>
      </c>
      <c r="AZ10" s="53"/>
      <c r="BA10" s="54"/>
      <c r="BB10" s="55">
        <v>31</v>
      </c>
      <c r="BC10" s="53"/>
      <c r="BD10" s="54"/>
      <c r="BE10" s="50"/>
      <c r="BF10" s="51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</row>
    <row r="11" spans="1:87" ht="14.5" x14ac:dyDescent="0.35">
      <c r="A11" s="36"/>
      <c r="B11" s="36"/>
      <c r="C11" s="36"/>
      <c r="D11" s="36"/>
      <c r="E11" s="66"/>
      <c r="F11" s="5" t="s">
        <v>41</v>
      </c>
      <c r="G11" s="5" t="s">
        <v>43</v>
      </c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63"/>
      <c r="BF11" s="60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8"/>
      <c r="CD11" s="28"/>
      <c r="CE11" s="21"/>
      <c r="CF11" s="21"/>
      <c r="CG11" s="21"/>
      <c r="CH11" s="21"/>
    </row>
    <row r="12" spans="1:87" ht="15.5" x14ac:dyDescent="0.35">
      <c r="A12" s="18">
        <v>1</v>
      </c>
      <c r="B12" s="22" t="s">
        <v>45</v>
      </c>
      <c r="C12" s="23">
        <f t="shared" ref="C12:D12" si="0">SUM(F12+I12+L12+O12+R12+U12+X12+AA12+AD12+AG12+AJ12+AM12+AP12+AS12+AV12+AY12+BB12+BG12+BI12+BK12+BM12+BO12+BQ12+BS12+BU12+BW12+BY12+CA12+CC12+CE12+CG12)</f>
        <v>5</v>
      </c>
      <c r="D12" s="23">
        <f t="shared" si="0"/>
        <v>105</v>
      </c>
      <c r="E12" s="23">
        <f t="shared" ref="E12:E24" si="1">SUM(H12+K12+N12+Q12+T12+W12+Z12+AC12+AF12+AI12+AL12+AO12+AR12+AU12+AX12+BA12+BD12)</f>
        <v>10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1</v>
      </c>
      <c r="M12" s="15">
        <v>20</v>
      </c>
      <c r="N12" s="15">
        <v>2</v>
      </c>
      <c r="O12" s="15">
        <v>2</v>
      </c>
      <c r="P12" s="15">
        <v>40</v>
      </c>
      <c r="Q12" s="15">
        <v>4</v>
      </c>
      <c r="R12" s="15">
        <v>2</v>
      </c>
      <c r="S12" s="15">
        <v>45</v>
      </c>
      <c r="T12" s="15">
        <v>4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59"/>
      <c r="BF12" s="60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8"/>
      <c r="CD12" s="28"/>
      <c r="CE12" s="21"/>
      <c r="CF12" s="21"/>
      <c r="CG12" s="21"/>
      <c r="CH12" s="21"/>
    </row>
    <row r="13" spans="1:87" ht="15.5" x14ac:dyDescent="0.35">
      <c r="A13" s="7">
        <v>2</v>
      </c>
      <c r="B13" s="11" t="s">
        <v>46</v>
      </c>
      <c r="C13" s="7">
        <f t="shared" ref="C13:D13" si="2">SUM(F13+I13+L13+O13+R13+U13+X13+AA13+AD13+AG13+AJ13+AM13+AP13+AS13+AV13+AY13+BB13+BG13+BI13+BK13+BM13+BO13+BQ13+BS13+BU13+BW13+BY13+CA13+CC13+CE13+CG13)</f>
        <v>0</v>
      </c>
      <c r="D13" s="7">
        <f t="shared" si="2"/>
        <v>0</v>
      </c>
      <c r="E13" s="12">
        <f t="shared" si="1"/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61"/>
      <c r="BF13" s="60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8"/>
      <c r="CD13" s="28"/>
      <c r="CE13" s="21"/>
      <c r="CF13" s="21"/>
      <c r="CG13" s="21"/>
      <c r="CH13" s="21"/>
    </row>
    <row r="14" spans="1:87" ht="15.5" x14ac:dyDescent="0.35">
      <c r="A14" s="18">
        <v>3</v>
      </c>
      <c r="B14" s="22" t="s">
        <v>79</v>
      </c>
      <c r="C14" s="23">
        <f t="shared" ref="C14:D14" si="3">SUM(F14+I14+L14+O14+R14+U14+X14+AA14+AD14+AG14+AJ14+AM14+AP14+AS14+AV14+AY14+BB14+BG14+BI14+BK14+BM14+BO14+BQ14+BS14+BU14+BW14+BY14+CA14+CC14+CE14+CG14)</f>
        <v>0</v>
      </c>
      <c r="D14" s="23">
        <f t="shared" si="3"/>
        <v>0</v>
      </c>
      <c r="E14" s="23">
        <f t="shared" si="1"/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59"/>
      <c r="BF14" s="60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8"/>
      <c r="CD14" s="28"/>
      <c r="CE14" s="21"/>
      <c r="CF14" s="21"/>
      <c r="CG14" s="21"/>
      <c r="CH14" s="21"/>
    </row>
    <row r="15" spans="1:87" ht="15.5" x14ac:dyDescent="0.35">
      <c r="A15" s="7">
        <v>4</v>
      </c>
      <c r="B15" s="11" t="s">
        <v>47</v>
      </c>
      <c r="C15" s="7">
        <f t="shared" ref="C15:D15" si="4">SUM(F15+I15+L15+O15+R15+U15+X15+AA15+AD15+AG15+AJ15+AM15+AP15+AS15+AV15+AY15+BB15+BG15+BI15+BK15+BM15+BO15+BQ15+BS15+BU15+BW15+BY15+CA15+CC15+CE15+CG15)</f>
        <v>0</v>
      </c>
      <c r="D15" s="7">
        <f t="shared" si="4"/>
        <v>0</v>
      </c>
      <c r="E15" s="12">
        <f t="shared" si="1"/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61"/>
      <c r="BF15" s="60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8"/>
      <c r="CD15" s="28"/>
      <c r="CE15" s="21"/>
      <c r="CF15" s="21"/>
      <c r="CG15" s="21"/>
      <c r="CH15" s="21"/>
    </row>
    <row r="16" spans="1:87" ht="15.5" x14ac:dyDescent="0.35">
      <c r="A16" s="18">
        <v>5</v>
      </c>
      <c r="B16" s="22" t="s">
        <v>48</v>
      </c>
      <c r="C16" s="23">
        <f t="shared" ref="C16:D16" si="5">SUM(F16+I16+L16+O16+R16+U16+X16+AA16+AD16+AG16+AJ16+AM16+AP16+AS16+AV16+AY16+BB16+BG16+BI16+BK16+BM16+BO16+BQ16+BS16+BU16+BW16+BY16+CA16+CC16+CE16+CG16)</f>
        <v>0</v>
      </c>
      <c r="D16" s="9">
        <f t="shared" si="5"/>
        <v>0</v>
      </c>
      <c r="E16" s="23">
        <f t="shared" si="1"/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59"/>
      <c r="BF16" s="60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8"/>
      <c r="CD16" s="28"/>
      <c r="CE16" s="21"/>
      <c r="CF16" s="21"/>
      <c r="CG16" s="21"/>
      <c r="CH16" s="21"/>
    </row>
    <row r="17" spans="1:87" ht="15.5" x14ac:dyDescent="0.35">
      <c r="A17" s="7">
        <v>6</v>
      </c>
      <c r="B17" s="11" t="s">
        <v>49</v>
      </c>
      <c r="C17" s="7">
        <f t="shared" ref="C17:D17" si="6">SUM(F17+I17+L17+O17+R17+U17+X17+AA17+AD17+AG17+AJ17+AM17+AP17+AS17+AV17+AY17+BB17+BG17+BI17+BK17+BM17+BO17+BQ17+BS17+BU17+BW17+BY17+CA17+CC17+CE17+CG17)</f>
        <v>0</v>
      </c>
      <c r="D17" s="7">
        <f t="shared" si="6"/>
        <v>0</v>
      </c>
      <c r="E17" s="12">
        <f t="shared" si="1"/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61"/>
      <c r="BF17" s="60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8"/>
      <c r="CD17" s="28"/>
      <c r="CE17" s="21"/>
      <c r="CF17" s="21"/>
      <c r="CG17" s="21"/>
      <c r="CH17" s="21"/>
    </row>
    <row r="18" spans="1:87" ht="15.5" x14ac:dyDescent="0.35">
      <c r="A18" s="18">
        <v>7</v>
      </c>
      <c r="B18" s="22" t="s">
        <v>50</v>
      </c>
      <c r="C18" s="23">
        <f t="shared" ref="C18:C24" si="7">SUM(F18+I18+L18+O18+R18+U18+X18+AA18+AD18+AG18+AJ18+AM18+AP18+AS18+AV18+AY18+BB18+BG18+BI18+BK18+BM18+BO18+BQ18+BS18+BU18+BW18+BY18+CA18+CC18+CE18+CG18)</f>
        <v>0</v>
      </c>
      <c r="D18" s="23">
        <f t="shared" ref="D18:D19" si="8">SUM(G18+J18+M18+P18+S18+V18+Y18+AB18+AE18+AH18+AK18+AN18+AQ18+AT18+AW18+AZ18+BC18+BH18+BJ18+BL18+BN16+BP18+BR18+BT18+BV18+BX18+BZ18+CB18+CD18+CF18+CH18)</f>
        <v>0</v>
      </c>
      <c r="E18" s="23">
        <f t="shared" si="1"/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59"/>
      <c r="BF18" s="60"/>
      <c r="BG18" s="21"/>
      <c r="BH18" s="21"/>
      <c r="BI18" s="21"/>
      <c r="BJ18" s="21"/>
      <c r="BK18" s="21"/>
      <c r="BL18" s="21"/>
      <c r="BM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8"/>
      <c r="CD18" s="28"/>
      <c r="CE18" s="21"/>
      <c r="CF18" s="21"/>
      <c r="CG18" s="21"/>
      <c r="CH18" s="21"/>
    </row>
    <row r="19" spans="1:87" ht="15.5" x14ac:dyDescent="0.35">
      <c r="A19" s="7">
        <v>8</v>
      </c>
      <c r="B19" s="11" t="s">
        <v>51</v>
      </c>
      <c r="C19" s="7">
        <f t="shared" si="7"/>
        <v>0</v>
      </c>
      <c r="D19" s="7">
        <f t="shared" si="8"/>
        <v>0</v>
      </c>
      <c r="E19" s="12">
        <f t="shared" si="1"/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61"/>
      <c r="BF19" s="60"/>
      <c r="BG19" s="21"/>
      <c r="BH19" s="21"/>
      <c r="BI19" s="21"/>
      <c r="BJ19" s="21"/>
      <c r="BK19" s="21"/>
      <c r="BL19" s="21"/>
      <c r="BM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8"/>
      <c r="CD19" s="28"/>
      <c r="CE19" s="21"/>
      <c r="CF19" s="21"/>
      <c r="CG19" s="21"/>
      <c r="CH19" s="21"/>
    </row>
    <row r="20" spans="1:87" ht="15.5" x14ac:dyDescent="0.35">
      <c r="A20" s="18">
        <v>9</v>
      </c>
      <c r="B20" s="22" t="s">
        <v>80</v>
      </c>
      <c r="C20" s="23">
        <f t="shared" si="7"/>
        <v>10</v>
      </c>
      <c r="D20" s="23">
        <f t="shared" ref="D20:D24" si="9">SUM(G20+J20+M20+P20+S20+V20+Y20+AB20+AE20+AH20+AK20+AN20+AQ20+AT20+AW20+AZ20+BC20+BH20+BJ20+BL20+BN20+BP20+BR20+BT20+BV20+BX20+BZ20+CB20+CD20+CF20+CH20)</f>
        <v>650</v>
      </c>
      <c r="E20" s="23">
        <f t="shared" si="1"/>
        <v>67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1</v>
      </c>
      <c r="M20" s="15">
        <v>69</v>
      </c>
      <c r="N20" s="15">
        <v>7</v>
      </c>
      <c r="O20" s="15">
        <v>1</v>
      </c>
      <c r="P20" s="15">
        <v>65</v>
      </c>
      <c r="Q20" s="15">
        <v>7</v>
      </c>
      <c r="R20" s="15">
        <v>1</v>
      </c>
      <c r="S20" s="15">
        <v>56</v>
      </c>
      <c r="T20" s="15">
        <v>7</v>
      </c>
      <c r="U20" s="15">
        <v>1</v>
      </c>
      <c r="V20" s="15">
        <v>56</v>
      </c>
      <c r="W20" s="15">
        <v>6</v>
      </c>
      <c r="X20" s="15">
        <v>1</v>
      </c>
      <c r="Y20" s="15">
        <v>81</v>
      </c>
      <c r="Z20" s="15">
        <v>7</v>
      </c>
      <c r="AA20" s="15">
        <v>1</v>
      </c>
      <c r="AB20" s="15">
        <v>81</v>
      </c>
      <c r="AC20" s="15">
        <v>7</v>
      </c>
      <c r="AD20" s="15">
        <v>1</v>
      </c>
      <c r="AE20" s="15">
        <v>81</v>
      </c>
      <c r="AF20" s="15">
        <v>7</v>
      </c>
      <c r="AG20" s="15">
        <v>1</v>
      </c>
      <c r="AH20" s="15">
        <v>81</v>
      </c>
      <c r="AI20" s="15">
        <v>7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1</v>
      </c>
      <c r="AZ20" s="15">
        <v>40</v>
      </c>
      <c r="BA20" s="15">
        <v>6</v>
      </c>
      <c r="BB20" s="15">
        <v>1</v>
      </c>
      <c r="BC20" s="15">
        <v>40</v>
      </c>
      <c r="BD20" s="15">
        <v>6</v>
      </c>
      <c r="BE20" s="59"/>
      <c r="BF20" s="60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8"/>
      <c r="CD20" s="28"/>
      <c r="CE20" s="21"/>
      <c r="CF20" s="21"/>
      <c r="CG20" s="21"/>
      <c r="CH20" s="21"/>
    </row>
    <row r="21" spans="1:87" ht="15.75" customHeight="1" x14ac:dyDescent="0.35">
      <c r="A21" s="7">
        <v>10</v>
      </c>
      <c r="B21" s="11" t="s">
        <v>52</v>
      </c>
      <c r="C21" s="7">
        <f t="shared" si="7"/>
        <v>0</v>
      </c>
      <c r="D21" s="7">
        <f t="shared" si="9"/>
        <v>0</v>
      </c>
      <c r="E21" s="12">
        <f t="shared" si="1"/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61"/>
      <c r="BF21" s="60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8"/>
      <c r="CD21" s="28"/>
      <c r="CE21" s="21"/>
      <c r="CF21" s="21"/>
      <c r="CG21" s="21"/>
      <c r="CH21" s="21"/>
    </row>
    <row r="22" spans="1:87" ht="15.75" customHeight="1" x14ac:dyDescent="0.35">
      <c r="A22" s="18">
        <v>11</v>
      </c>
      <c r="B22" s="22" t="s">
        <v>53</v>
      </c>
      <c r="C22" s="23">
        <f t="shared" si="7"/>
        <v>0</v>
      </c>
      <c r="D22" s="23">
        <f t="shared" si="9"/>
        <v>0</v>
      </c>
      <c r="E22" s="23">
        <f t="shared" si="1"/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59"/>
      <c r="BF22" s="60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8"/>
      <c r="CD22" s="28"/>
      <c r="CE22" s="21"/>
      <c r="CF22" s="21"/>
      <c r="CG22" s="21"/>
      <c r="CH22" s="21"/>
    </row>
    <row r="23" spans="1:87" ht="15.75" customHeight="1" x14ac:dyDescent="0.35">
      <c r="A23" s="7">
        <v>12</v>
      </c>
      <c r="B23" s="11" t="s">
        <v>54</v>
      </c>
      <c r="C23" s="7">
        <f t="shared" si="7"/>
        <v>10</v>
      </c>
      <c r="D23" s="7">
        <f t="shared" si="9"/>
        <v>654</v>
      </c>
      <c r="E23" s="12">
        <f t="shared" si="1"/>
        <v>68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69</v>
      </c>
      <c r="N23" s="13">
        <v>7</v>
      </c>
      <c r="O23" s="13">
        <v>1</v>
      </c>
      <c r="P23" s="13">
        <v>69</v>
      </c>
      <c r="Q23" s="13">
        <v>7</v>
      </c>
      <c r="R23" s="13">
        <v>1</v>
      </c>
      <c r="S23" s="13">
        <v>56</v>
      </c>
      <c r="T23" s="13">
        <v>7</v>
      </c>
      <c r="U23" s="13">
        <v>1</v>
      </c>
      <c r="V23" s="13">
        <v>56</v>
      </c>
      <c r="W23" s="13">
        <v>7</v>
      </c>
      <c r="X23" s="13">
        <v>1</v>
      </c>
      <c r="Y23" s="13">
        <v>81</v>
      </c>
      <c r="Z23" s="13">
        <v>7</v>
      </c>
      <c r="AA23" s="13">
        <v>1</v>
      </c>
      <c r="AB23" s="13">
        <v>81</v>
      </c>
      <c r="AC23" s="13">
        <v>7</v>
      </c>
      <c r="AD23" s="13">
        <v>1</v>
      </c>
      <c r="AE23" s="13">
        <v>81</v>
      </c>
      <c r="AF23" s="13">
        <v>7</v>
      </c>
      <c r="AG23" s="13">
        <v>1</v>
      </c>
      <c r="AH23" s="13">
        <v>81</v>
      </c>
      <c r="AI23" s="13">
        <v>7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1</v>
      </c>
      <c r="AZ23" s="13">
        <v>40</v>
      </c>
      <c r="BA23" s="13">
        <v>6</v>
      </c>
      <c r="BB23" s="13">
        <v>1</v>
      </c>
      <c r="BC23" s="13">
        <v>40</v>
      </c>
      <c r="BD23" s="13">
        <v>6</v>
      </c>
      <c r="BE23" s="61"/>
      <c r="BF23" s="60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8"/>
      <c r="CD23" s="28"/>
      <c r="CE23" s="21"/>
      <c r="CF23" s="21"/>
      <c r="CG23" s="21"/>
      <c r="CH23" s="21"/>
    </row>
    <row r="24" spans="1:87" ht="15.75" customHeight="1" x14ac:dyDescent="0.35">
      <c r="A24" s="18">
        <v>13</v>
      </c>
      <c r="B24" s="22" t="s">
        <v>55</v>
      </c>
      <c r="C24" s="23">
        <f t="shared" si="7"/>
        <v>0</v>
      </c>
      <c r="D24" s="23">
        <f t="shared" si="9"/>
        <v>0</v>
      </c>
      <c r="E24" s="23">
        <f t="shared" si="1"/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62"/>
      <c r="BF24" s="54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8"/>
      <c r="CD24" s="28"/>
      <c r="CE24" s="21"/>
      <c r="CF24" s="21"/>
      <c r="CG24" s="21"/>
      <c r="CH24" s="21"/>
    </row>
    <row r="25" spans="1:87" ht="15.75" customHeight="1" x14ac:dyDescent="0.35">
      <c r="A25" s="20"/>
      <c r="B25" s="19" t="s">
        <v>62</v>
      </c>
      <c r="C25" s="20"/>
      <c r="D25" s="20"/>
      <c r="E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0"/>
      <c r="BF25" s="20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</row>
    <row r="26" spans="1:87" ht="15.75" customHeight="1" x14ac:dyDescent="0.35">
      <c r="B26" s="3" t="s">
        <v>71</v>
      </c>
      <c r="BM26" s="21"/>
    </row>
    <row r="27" spans="1:87" ht="15.75" customHeight="1" x14ac:dyDescent="0.35">
      <c r="B27" s="3" t="s">
        <v>72</v>
      </c>
    </row>
    <row r="28" spans="1:87" ht="15" customHeight="1" x14ac:dyDescent="0.35">
      <c r="B28" s="3" t="s">
        <v>63</v>
      </c>
      <c r="R28" s="3"/>
      <c r="U28" s="3"/>
      <c r="X28" s="3"/>
      <c r="AV28" s="3"/>
      <c r="BL28" s="3"/>
    </row>
    <row r="29" spans="1:87" ht="15.75" customHeight="1" x14ac:dyDescent="0.35"/>
    <row r="30" spans="1:87" ht="15.75" customHeight="1" x14ac:dyDescent="0.35"/>
    <row r="31" spans="1:87" ht="15.75" customHeight="1" x14ac:dyDescent="0.35">
      <c r="B31" s="17" t="s">
        <v>73</v>
      </c>
      <c r="R31" s="17" t="s">
        <v>74</v>
      </c>
      <c r="AS31" s="17" t="s">
        <v>75</v>
      </c>
    </row>
    <row r="32" spans="1:8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spans="2:53" ht="15.75" customHeight="1" x14ac:dyDescent="0.35"/>
    <row r="50" spans="2:53" ht="15.75" customHeight="1" x14ac:dyDescent="0.35">
      <c r="B50" s="29"/>
      <c r="BA50" s="29"/>
    </row>
    <row r="51" spans="2:53" ht="15.75" customHeight="1" x14ac:dyDescent="0.35">
      <c r="B51" s="29"/>
      <c r="BA51" s="29"/>
    </row>
    <row r="52" spans="2:53" ht="15.75" customHeight="1" x14ac:dyDescent="0.35">
      <c r="B52" s="29"/>
      <c r="BA52" s="29"/>
    </row>
    <row r="53" spans="2:53" ht="15.75" customHeight="1" x14ac:dyDescent="0.35">
      <c r="B53" s="29"/>
      <c r="BA53" s="29"/>
    </row>
    <row r="54" spans="2:53" ht="15.75" customHeight="1" x14ac:dyDescent="0.35">
      <c r="B54" s="29"/>
      <c r="BA54" s="29"/>
    </row>
    <row r="55" spans="2:53" ht="15.75" customHeight="1" x14ac:dyDescent="0.35">
      <c r="B55" s="29"/>
      <c r="BA55" s="29"/>
    </row>
    <row r="56" spans="2:53" ht="15.75" customHeight="1" x14ac:dyDescent="0.35">
      <c r="B56" s="29"/>
      <c r="BA56" s="29"/>
    </row>
    <row r="57" spans="2:53" ht="15.75" customHeight="1" x14ac:dyDescent="0.35">
      <c r="B57" s="29"/>
      <c r="BA57" s="29"/>
    </row>
    <row r="58" spans="2:53" ht="15.75" customHeight="1" x14ac:dyDescent="0.35">
      <c r="B58" s="29"/>
    </row>
    <row r="59" spans="2:53" ht="15.75" customHeight="1" x14ac:dyDescent="0.35"/>
    <row r="60" spans="2:53" ht="15.75" customHeight="1" x14ac:dyDescent="0.35"/>
    <row r="61" spans="2:53" ht="15.75" customHeight="1" x14ac:dyDescent="0.35"/>
    <row r="62" spans="2:53" ht="15.75" customHeight="1" x14ac:dyDescent="0.35"/>
    <row r="63" spans="2:53" ht="15.75" customHeight="1" x14ac:dyDescent="0.35"/>
    <row r="64" spans="2:53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2">
    <mergeCell ref="BE23:BF23"/>
    <mergeCell ref="BE24:BF24"/>
    <mergeCell ref="BE11:BF11"/>
    <mergeCell ref="BE12:BF12"/>
    <mergeCell ref="BE13:BF13"/>
    <mergeCell ref="BE14:BF14"/>
    <mergeCell ref="BE15:BF15"/>
    <mergeCell ref="BE16:BF16"/>
    <mergeCell ref="BE17:BF17"/>
    <mergeCell ref="BE18:BF18"/>
    <mergeCell ref="BE19:BF19"/>
    <mergeCell ref="BE20:BF20"/>
    <mergeCell ref="BE21:BF21"/>
    <mergeCell ref="BE22:BF22"/>
    <mergeCell ref="C1:BF1"/>
    <mergeCell ref="C2:BF2"/>
    <mergeCell ref="C3:BF3"/>
    <mergeCell ref="C4:BF4"/>
    <mergeCell ref="A9:A11"/>
    <mergeCell ref="B9:B11"/>
    <mergeCell ref="C9:C11"/>
    <mergeCell ref="D9:D11"/>
    <mergeCell ref="E9:E11"/>
    <mergeCell ref="U10:W10"/>
    <mergeCell ref="X10:Z10"/>
    <mergeCell ref="AA10:AC10"/>
    <mergeCell ref="AD10:AF10"/>
    <mergeCell ref="AG10:AI10"/>
    <mergeCell ref="AJ10:AL10"/>
    <mergeCell ref="AM10:AO10"/>
    <mergeCell ref="F9:BD9"/>
    <mergeCell ref="BE9:BF10"/>
    <mergeCell ref="F10:H10"/>
    <mergeCell ref="I10:K10"/>
    <mergeCell ref="L10:N10"/>
    <mergeCell ref="O10:Q10"/>
    <mergeCell ref="R10:T10"/>
    <mergeCell ref="AP10:AR10"/>
    <mergeCell ref="AS10:AU10"/>
    <mergeCell ref="AV10:AX10"/>
    <mergeCell ref="AY10:BA10"/>
    <mergeCell ref="BB10:BD10"/>
  </mergeCells>
  <pageMargins left="0.7" right="0.7" top="0.75" bottom="0.75" header="0" footer="0"/>
  <pageSetup paperSize="9" fitToHeight="0"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Z31"/>
  <sheetViews>
    <sheetView workbookViewId="0"/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7" width="4" customWidth="1"/>
    <col min="8" max="9" width="4.08984375" customWidth="1"/>
    <col min="10" max="10" width="4" customWidth="1"/>
    <col min="11" max="11" width="4.26953125" customWidth="1"/>
    <col min="12" max="12" width="3.81640625" customWidth="1"/>
    <col min="13" max="13" width="4" customWidth="1"/>
    <col min="14" max="14" width="4.81640625" customWidth="1"/>
    <col min="15" max="15" width="3.81640625" customWidth="1"/>
    <col min="16" max="16" width="4" customWidth="1"/>
    <col min="17" max="17" width="4.7265625" customWidth="1"/>
    <col min="18" max="18" width="3.7265625" customWidth="1"/>
    <col min="19" max="19" width="3.54296875" customWidth="1"/>
    <col min="20" max="25" width="4" customWidth="1"/>
    <col min="26" max="27" width="3.26953125" customWidth="1"/>
    <col min="28" max="28" width="4" customWidth="1"/>
    <col min="29" max="30" width="3.26953125" customWidth="1"/>
    <col min="31" max="31" width="4" customWidth="1"/>
    <col min="32" max="33" width="3.26953125" customWidth="1"/>
    <col min="34" max="37" width="4" customWidth="1"/>
    <col min="38" max="39" width="4.08984375" customWidth="1"/>
    <col min="40" max="77" width="4" customWidth="1"/>
    <col min="78" max="78" width="13.81640625" customWidth="1"/>
  </cols>
  <sheetData>
    <row r="1" spans="1:78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</row>
    <row r="2" spans="1:78" ht="15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</row>
    <row r="3" spans="1:78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</row>
    <row r="4" spans="1:78" ht="15" customHeight="1" x14ac:dyDescent="0.35">
      <c r="C4" s="41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</row>
    <row r="5" spans="1:78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35">
      <c r="B6" s="3" t="s">
        <v>4</v>
      </c>
      <c r="C6" s="3" t="s">
        <v>5</v>
      </c>
    </row>
    <row r="7" spans="1:78" ht="15" customHeight="1" x14ac:dyDescent="0.35">
      <c r="B7" s="3" t="s">
        <v>6</v>
      </c>
      <c r="C7" s="3" t="s">
        <v>76</v>
      </c>
    </row>
    <row r="9" spans="1:78" ht="14.5" x14ac:dyDescent="0.35">
      <c r="A9" s="42" t="s">
        <v>8</v>
      </c>
      <c r="B9" s="42" t="s">
        <v>9</v>
      </c>
      <c r="C9" s="34" t="s">
        <v>10</v>
      </c>
      <c r="D9" s="34" t="s">
        <v>11</v>
      </c>
      <c r="E9" s="34" t="s">
        <v>12</v>
      </c>
      <c r="F9" s="31" t="s">
        <v>13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3"/>
    </row>
    <row r="10" spans="1:78" ht="14.5" x14ac:dyDescent="0.35">
      <c r="A10" s="35"/>
      <c r="B10" s="35"/>
      <c r="C10" s="35"/>
      <c r="D10" s="35"/>
      <c r="E10" s="35"/>
      <c r="F10" s="37" t="s">
        <v>14</v>
      </c>
      <c r="G10" s="32"/>
      <c r="H10" s="33"/>
      <c r="I10" s="31" t="s">
        <v>15</v>
      </c>
      <c r="J10" s="32"/>
      <c r="K10" s="33"/>
      <c r="L10" s="31" t="s">
        <v>19</v>
      </c>
      <c r="M10" s="32"/>
      <c r="N10" s="33"/>
      <c r="O10" s="31" t="s">
        <v>20</v>
      </c>
      <c r="P10" s="32"/>
      <c r="Q10" s="33"/>
      <c r="R10" s="31" t="s">
        <v>21</v>
      </c>
      <c r="S10" s="32"/>
      <c r="T10" s="33"/>
      <c r="U10" s="31" t="s">
        <v>22</v>
      </c>
      <c r="V10" s="32"/>
      <c r="W10" s="33"/>
      <c r="X10" s="31" t="s">
        <v>23</v>
      </c>
      <c r="Y10" s="32"/>
      <c r="Z10" s="33"/>
      <c r="AA10" s="31" t="s">
        <v>24</v>
      </c>
      <c r="AB10" s="32"/>
      <c r="AC10" s="33"/>
      <c r="AD10" s="31" t="s">
        <v>26</v>
      </c>
      <c r="AE10" s="32"/>
      <c r="AF10" s="33"/>
      <c r="AG10" s="31" t="s">
        <v>27</v>
      </c>
      <c r="AH10" s="32"/>
      <c r="AI10" s="33"/>
      <c r="AJ10" s="31" t="s">
        <v>28</v>
      </c>
      <c r="AK10" s="32"/>
      <c r="AL10" s="33"/>
      <c r="AM10" s="31" t="s">
        <v>29</v>
      </c>
      <c r="AN10" s="32"/>
      <c r="AO10" s="33"/>
      <c r="AP10" s="31" t="s">
        <v>30</v>
      </c>
      <c r="AQ10" s="32"/>
      <c r="AR10" s="33"/>
      <c r="AS10" s="31" t="s">
        <v>31</v>
      </c>
      <c r="AT10" s="32"/>
      <c r="AU10" s="33"/>
      <c r="AV10" s="31" t="s">
        <v>33</v>
      </c>
      <c r="AW10" s="32"/>
      <c r="AX10" s="33"/>
      <c r="AY10" s="31" t="s">
        <v>34</v>
      </c>
      <c r="AZ10" s="32"/>
      <c r="BA10" s="33"/>
      <c r="BB10" s="31" t="s">
        <v>35</v>
      </c>
      <c r="BC10" s="32"/>
      <c r="BD10" s="33"/>
      <c r="BE10" s="31" t="s">
        <v>36</v>
      </c>
      <c r="BF10" s="32"/>
      <c r="BG10" s="33"/>
      <c r="BH10" s="31" t="s">
        <v>37</v>
      </c>
      <c r="BI10" s="32"/>
      <c r="BJ10" s="33"/>
      <c r="BK10" s="31" t="s">
        <v>38</v>
      </c>
      <c r="BL10" s="32"/>
      <c r="BM10" s="33"/>
      <c r="BN10" s="31" t="s">
        <v>40</v>
      </c>
      <c r="BO10" s="32"/>
      <c r="BP10" s="33"/>
      <c r="BQ10" s="31">
        <v>28</v>
      </c>
      <c r="BR10" s="32"/>
      <c r="BS10" s="33"/>
      <c r="BT10" s="31">
        <v>29</v>
      </c>
      <c r="BU10" s="32"/>
      <c r="BV10" s="33"/>
      <c r="BW10" s="31">
        <v>30</v>
      </c>
      <c r="BX10" s="32"/>
      <c r="BY10" s="33"/>
      <c r="BZ10" s="4"/>
    </row>
    <row r="11" spans="1:78" ht="14.5" x14ac:dyDescent="0.35">
      <c r="A11" s="36"/>
      <c r="B11" s="36"/>
      <c r="C11" s="36"/>
      <c r="D11" s="36"/>
      <c r="E11" s="36"/>
      <c r="F11" s="5" t="s">
        <v>41</v>
      </c>
      <c r="G11" s="5" t="s">
        <v>43</v>
      </c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5" t="s">
        <v>41</v>
      </c>
      <c r="BF11" s="5" t="s">
        <v>43</v>
      </c>
      <c r="BG11" s="5" t="s">
        <v>42</v>
      </c>
      <c r="BH11" s="5" t="s">
        <v>41</v>
      </c>
      <c r="BI11" s="5" t="s">
        <v>43</v>
      </c>
      <c r="BJ11" s="5" t="s">
        <v>42</v>
      </c>
      <c r="BK11" s="5" t="s">
        <v>41</v>
      </c>
      <c r="BL11" s="5" t="s">
        <v>43</v>
      </c>
      <c r="BM11" s="5" t="s">
        <v>42</v>
      </c>
      <c r="BN11" s="5" t="s">
        <v>41</v>
      </c>
      <c r="BO11" s="5" t="s">
        <v>43</v>
      </c>
      <c r="BP11" s="5" t="s">
        <v>42</v>
      </c>
      <c r="BQ11" s="5" t="s">
        <v>41</v>
      </c>
      <c r="BR11" s="5" t="s">
        <v>43</v>
      </c>
      <c r="BS11" s="5" t="s">
        <v>42</v>
      </c>
      <c r="BT11" s="5" t="s">
        <v>41</v>
      </c>
      <c r="BU11" s="5" t="s">
        <v>43</v>
      </c>
      <c r="BV11" s="5" t="s">
        <v>42</v>
      </c>
      <c r="BW11" s="5" t="s">
        <v>41</v>
      </c>
      <c r="BX11" s="5" t="s">
        <v>43</v>
      </c>
      <c r="BY11" s="5" t="s">
        <v>42</v>
      </c>
      <c r="BZ11" s="6" t="s">
        <v>44</v>
      </c>
    </row>
    <row r="12" spans="1:78" ht="15.5" x14ac:dyDescent="0.35">
      <c r="A12" s="18">
        <v>1</v>
      </c>
      <c r="B12" s="8" t="s">
        <v>45</v>
      </c>
      <c r="C12" s="9">
        <f t="shared" ref="C12:E12" si="0">SUM(F12+I12+L12+O12+R12+U12+X12+AA12+AD12+AG12+AJ12+AM12+AP12+AS12+AV12+AY12+BB12+BE12+BH12+BK12+BN12+BQ12+BT12+BW12)</f>
        <v>5</v>
      </c>
      <c r="D12" s="9">
        <f t="shared" si="0"/>
        <v>105</v>
      </c>
      <c r="E12" s="9">
        <f t="shared" si="0"/>
        <v>10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1</v>
      </c>
      <c r="AB12" s="10">
        <v>21</v>
      </c>
      <c r="AC12" s="10">
        <v>2</v>
      </c>
      <c r="AD12" s="10">
        <v>1</v>
      </c>
      <c r="AE12" s="10">
        <v>17</v>
      </c>
      <c r="AF12" s="10">
        <v>2</v>
      </c>
      <c r="AG12" s="10">
        <v>1</v>
      </c>
      <c r="AH12" s="10">
        <v>23</v>
      </c>
      <c r="AI12" s="10">
        <v>2</v>
      </c>
      <c r="AJ12" s="10">
        <v>1</v>
      </c>
      <c r="AK12" s="10">
        <v>22</v>
      </c>
      <c r="AL12" s="10">
        <v>2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1</v>
      </c>
      <c r="AT12" s="10">
        <v>22</v>
      </c>
      <c r="AU12" s="10">
        <v>2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/>
    </row>
    <row r="13" spans="1:78" ht="15.5" x14ac:dyDescent="0.35">
      <c r="A13" s="7">
        <v>2</v>
      </c>
      <c r="B13" s="11" t="s">
        <v>46</v>
      </c>
      <c r="C13" s="7">
        <f t="shared" ref="C13:E13" si="1">SUM(F13+I13+L13+O13+R13+U13+X13+AA13+AD13+AG13+AJ13+AM13+AP13+AS13+AV13+AY13+BB13+BE13+BH13+BK13+BN13+BQ13+BT13+BW13)</f>
        <v>0</v>
      </c>
      <c r="D13" s="7">
        <f t="shared" si="1"/>
        <v>0</v>
      </c>
      <c r="E13" s="7">
        <f t="shared" si="1"/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4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/>
    </row>
    <row r="14" spans="1:78" ht="15.5" x14ac:dyDescent="0.35">
      <c r="A14" s="18">
        <v>3</v>
      </c>
      <c r="B14" s="8" t="s">
        <v>79</v>
      </c>
      <c r="C14" s="9">
        <f t="shared" ref="C14:E14" si="2">SUM(F14+I14+L14+O14+R14+U14+X14+AA14+AD14+AG14+AJ14+AM14+AP14+AS14+AV14+AY14+BB14+BE14+BH14+BK14+BN14+BQ14+BT14+BW14)</f>
        <v>0</v>
      </c>
      <c r="D14" s="9">
        <f t="shared" si="2"/>
        <v>0</v>
      </c>
      <c r="E14" s="9">
        <f t="shared" si="2"/>
        <v>0</v>
      </c>
      <c r="F14" s="10">
        <v>0</v>
      </c>
      <c r="G14" s="10">
        <v>0</v>
      </c>
      <c r="H14" s="15">
        <v>0</v>
      </c>
      <c r="I14" s="10">
        <v>0</v>
      </c>
      <c r="J14" s="10">
        <v>0</v>
      </c>
      <c r="K14" s="15">
        <v>0</v>
      </c>
      <c r="L14" s="10">
        <v>0</v>
      </c>
      <c r="M14" s="10">
        <v>0</v>
      </c>
      <c r="N14" s="15">
        <v>0</v>
      </c>
      <c r="O14" s="10">
        <v>0</v>
      </c>
      <c r="P14" s="10">
        <v>0</v>
      </c>
      <c r="Q14" s="15">
        <v>0</v>
      </c>
      <c r="R14" s="10">
        <v>0</v>
      </c>
      <c r="S14" s="10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0">
        <v>0</v>
      </c>
      <c r="BF14" s="10">
        <v>0</v>
      </c>
      <c r="BG14" s="15">
        <v>0</v>
      </c>
      <c r="BH14" s="10">
        <v>0</v>
      </c>
      <c r="BI14" s="10">
        <v>0</v>
      </c>
      <c r="BJ14" s="15">
        <v>0</v>
      </c>
      <c r="BK14" s="10">
        <v>0</v>
      </c>
      <c r="BL14" s="10">
        <v>0</v>
      </c>
      <c r="BM14" s="15">
        <v>0</v>
      </c>
      <c r="BN14" s="10">
        <v>0</v>
      </c>
      <c r="BO14" s="10">
        <v>0</v>
      </c>
      <c r="BP14" s="15">
        <v>0</v>
      </c>
      <c r="BQ14" s="10">
        <v>0</v>
      </c>
      <c r="BR14" s="10">
        <v>0</v>
      </c>
      <c r="BS14" s="15">
        <v>0</v>
      </c>
      <c r="BT14" s="10">
        <v>0</v>
      </c>
      <c r="BU14" s="10">
        <v>0</v>
      </c>
      <c r="BV14" s="15">
        <v>0</v>
      </c>
      <c r="BW14" s="10">
        <v>0</v>
      </c>
      <c r="BX14" s="10">
        <v>0</v>
      </c>
      <c r="BY14" s="15">
        <v>0</v>
      </c>
      <c r="BZ14" s="10"/>
    </row>
    <row r="15" spans="1:78" ht="15.5" x14ac:dyDescent="0.35">
      <c r="A15" s="7">
        <v>4</v>
      </c>
      <c r="B15" s="11" t="s">
        <v>47</v>
      </c>
      <c r="C15" s="7">
        <f t="shared" ref="C15:E15" si="3">SUM(F15+I15+L15+O15+R15+U15+X15+AA15+AD15+AG15+AJ15+AM15+AP15+AS15+AV15+AY15+BB15+BE15+BH15+BK15+BN15+BQ15+BT15+BW15)</f>
        <v>15</v>
      </c>
      <c r="D15" s="7">
        <f t="shared" si="3"/>
        <v>231</v>
      </c>
      <c r="E15" s="7">
        <f t="shared" si="3"/>
        <v>30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1</v>
      </c>
      <c r="V15" s="13">
        <v>23</v>
      </c>
      <c r="W15" s="13">
        <v>2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1</v>
      </c>
      <c r="AK15" s="13">
        <v>20</v>
      </c>
      <c r="AL15" s="14">
        <v>2</v>
      </c>
      <c r="AM15" s="13">
        <v>1</v>
      </c>
      <c r="AN15" s="13">
        <v>21</v>
      </c>
      <c r="AO15" s="13">
        <v>2</v>
      </c>
      <c r="AP15" s="13">
        <v>1</v>
      </c>
      <c r="AQ15" s="13">
        <v>11</v>
      </c>
      <c r="AR15" s="13">
        <v>2</v>
      </c>
      <c r="AS15" s="13">
        <v>0</v>
      </c>
      <c r="AT15" s="13">
        <v>0</v>
      </c>
      <c r="AU15" s="13">
        <v>0</v>
      </c>
      <c r="AV15" s="13">
        <v>2</v>
      </c>
      <c r="AW15" s="13">
        <v>35</v>
      </c>
      <c r="AX15" s="13">
        <v>4</v>
      </c>
      <c r="AY15" s="13">
        <v>0</v>
      </c>
      <c r="AZ15" s="13">
        <v>0</v>
      </c>
      <c r="BA15" s="13">
        <v>0</v>
      </c>
      <c r="BB15" s="13">
        <v>1</v>
      </c>
      <c r="BC15" s="13">
        <v>9</v>
      </c>
      <c r="BD15" s="13">
        <v>2</v>
      </c>
      <c r="BE15" s="13">
        <v>2</v>
      </c>
      <c r="BF15" s="13">
        <v>25</v>
      </c>
      <c r="BG15" s="13">
        <v>4</v>
      </c>
      <c r="BH15" s="13">
        <v>2</v>
      </c>
      <c r="BI15" s="13">
        <v>23</v>
      </c>
      <c r="BJ15" s="13">
        <v>4</v>
      </c>
      <c r="BK15" s="13">
        <v>0</v>
      </c>
      <c r="BL15" s="13">
        <v>0</v>
      </c>
      <c r="BM15" s="13">
        <v>0</v>
      </c>
      <c r="BN15" s="13">
        <v>1</v>
      </c>
      <c r="BO15" s="13">
        <v>10</v>
      </c>
      <c r="BP15" s="13">
        <v>2</v>
      </c>
      <c r="BQ15" s="13">
        <v>1</v>
      </c>
      <c r="BR15" s="13">
        <v>22</v>
      </c>
      <c r="BS15" s="13">
        <v>2</v>
      </c>
      <c r="BT15" s="13">
        <v>2</v>
      </c>
      <c r="BU15" s="13">
        <v>32</v>
      </c>
      <c r="BV15" s="13">
        <v>4</v>
      </c>
      <c r="BW15" s="13">
        <v>0</v>
      </c>
      <c r="BX15" s="13">
        <v>0</v>
      </c>
      <c r="BY15" s="13">
        <v>0</v>
      </c>
      <c r="BZ15" s="13"/>
    </row>
    <row r="16" spans="1:78" ht="15.5" x14ac:dyDescent="0.35">
      <c r="A16" s="18">
        <v>5</v>
      </c>
      <c r="B16" s="8" t="s">
        <v>48</v>
      </c>
      <c r="C16" s="9">
        <f t="shared" ref="C16:E16" si="4">SUM(F16+I16+L16+O16+R16+U16+X16+AA16+AD16+AG16+AJ16+AM16+AP16+AS16+AV16+AY16+BB16+BE16+BH16+BK16+BN16+BQ16+BT16+BW16)</f>
        <v>0</v>
      </c>
      <c r="D16" s="9">
        <f t="shared" si="4"/>
        <v>0</v>
      </c>
      <c r="E16" s="9">
        <f t="shared" si="4"/>
        <v>0</v>
      </c>
      <c r="F16" s="10">
        <v>0</v>
      </c>
      <c r="G16" s="10">
        <v>0</v>
      </c>
      <c r="H16" s="15">
        <v>0</v>
      </c>
      <c r="I16" s="10">
        <v>0</v>
      </c>
      <c r="J16" s="10">
        <v>0</v>
      </c>
      <c r="K16" s="15">
        <v>0</v>
      </c>
      <c r="L16" s="10">
        <v>0</v>
      </c>
      <c r="M16" s="10">
        <v>0</v>
      </c>
      <c r="N16" s="15">
        <v>0</v>
      </c>
      <c r="O16" s="10">
        <v>0</v>
      </c>
      <c r="P16" s="10">
        <v>0</v>
      </c>
      <c r="Q16" s="15">
        <v>0</v>
      </c>
      <c r="R16" s="10">
        <v>0</v>
      </c>
      <c r="S16" s="10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0">
        <v>0</v>
      </c>
      <c r="AU16" s="15">
        <v>0</v>
      </c>
      <c r="AV16" s="10">
        <v>0</v>
      </c>
      <c r="AW16" s="10">
        <v>0</v>
      </c>
      <c r="AX16" s="15">
        <v>0</v>
      </c>
      <c r="AY16" s="10">
        <v>0</v>
      </c>
      <c r="AZ16" s="10">
        <v>0</v>
      </c>
      <c r="BA16" s="15">
        <v>0</v>
      </c>
      <c r="BB16" s="10">
        <v>0</v>
      </c>
      <c r="BC16" s="10">
        <v>0</v>
      </c>
      <c r="BD16" s="15">
        <v>0</v>
      </c>
      <c r="BE16" s="10">
        <v>0</v>
      </c>
      <c r="BF16" s="10">
        <v>0</v>
      </c>
      <c r="BG16" s="15">
        <v>0</v>
      </c>
      <c r="BH16" s="10">
        <v>0</v>
      </c>
      <c r="BI16" s="10">
        <v>0</v>
      </c>
      <c r="BJ16" s="15">
        <v>0</v>
      </c>
      <c r="BK16" s="10">
        <v>0</v>
      </c>
      <c r="BL16" s="10">
        <v>0</v>
      </c>
      <c r="BM16" s="15">
        <v>0</v>
      </c>
      <c r="BN16" s="10">
        <v>0</v>
      </c>
      <c r="BO16" s="10">
        <v>0</v>
      </c>
      <c r="BP16" s="15">
        <v>0</v>
      </c>
      <c r="BQ16" s="10">
        <v>0</v>
      </c>
      <c r="BR16" s="10">
        <v>0</v>
      </c>
      <c r="BS16" s="15">
        <v>0</v>
      </c>
      <c r="BT16" s="10">
        <v>0</v>
      </c>
      <c r="BU16" s="10">
        <v>0</v>
      </c>
      <c r="BV16" s="15">
        <v>0</v>
      </c>
      <c r="BW16" s="10">
        <v>0</v>
      </c>
      <c r="BX16" s="10">
        <v>0</v>
      </c>
      <c r="BY16" s="15">
        <v>0</v>
      </c>
      <c r="BZ16" s="10"/>
    </row>
    <row r="17" spans="1:78" ht="15.5" x14ac:dyDescent="0.35">
      <c r="A17" s="7">
        <v>6</v>
      </c>
      <c r="B17" s="11" t="s">
        <v>49</v>
      </c>
      <c r="C17" s="7">
        <f t="shared" ref="C17:E17" si="5">SUM(F17+I17+L17+O17+R17+U17+X17+AA17+AD17+AG17+AJ17+AM17+AP17+AS17+AV17+AY17+BB17+BE17+BH17+BK17+BN17+BQ17+BT17+BW17)</f>
        <v>1</v>
      </c>
      <c r="D17" s="7">
        <f t="shared" si="5"/>
        <v>7</v>
      </c>
      <c r="E17" s="7">
        <f t="shared" si="5"/>
        <v>2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1</v>
      </c>
      <c r="S17" s="13">
        <v>7</v>
      </c>
      <c r="T17" s="13">
        <v>2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4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/>
    </row>
    <row r="18" spans="1:78" ht="15.5" x14ac:dyDescent="0.35">
      <c r="A18" s="18">
        <v>7</v>
      </c>
      <c r="B18" s="8" t="s">
        <v>50</v>
      </c>
      <c r="C18" s="9">
        <f t="shared" ref="C18:E18" si="6">SUM(F18+I18+L18+O18+R18+U18+X18+AA18+AD18+AG18+AJ18+AM18+AP18+AS18+AV18+AY18+BB18+BE18+BH18+BK18+BN18+BQ18+BT18+BW18)</f>
        <v>11</v>
      </c>
      <c r="D18" s="9">
        <f t="shared" si="6"/>
        <v>246</v>
      </c>
      <c r="E18" s="9">
        <f t="shared" si="6"/>
        <v>21</v>
      </c>
      <c r="F18" s="10">
        <v>0</v>
      </c>
      <c r="G18" s="10">
        <v>0</v>
      </c>
      <c r="H18" s="15">
        <v>0</v>
      </c>
      <c r="I18" s="10">
        <v>0</v>
      </c>
      <c r="J18" s="10">
        <v>0</v>
      </c>
      <c r="K18" s="15">
        <v>0</v>
      </c>
      <c r="L18" s="10">
        <v>0</v>
      </c>
      <c r="M18" s="10">
        <v>0</v>
      </c>
      <c r="N18" s="15">
        <v>0</v>
      </c>
      <c r="O18" s="10">
        <v>0</v>
      </c>
      <c r="P18" s="10">
        <v>0</v>
      </c>
      <c r="Q18" s="15">
        <v>0</v>
      </c>
      <c r="R18" s="10">
        <v>0</v>
      </c>
      <c r="S18" s="10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1</v>
      </c>
      <c r="AE18" s="15">
        <v>21</v>
      </c>
      <c r="AF18" s="15">
        <v>2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2</v>
      </c>
      <c r="AQ18" s="15">
        <v>51</v>
      </c>
      <c r="AR18" s="15">
        <v>3</v>
      </c>
      <c r="AS18" s="15">
        <v>0</v>
      </c>
      <c r="AT18" s="15">
        <v>0</v>
      </c>
      <c r="AU18" s="15">
        <v>0</v>
      </c>
      <c r="AV18" s="15">
        <v>2</v>
      </c>
      <c r="AW18" s="15">
        <v>46</v>
      </c>
      <c r="AX18" s="15">
        <v>4</v>
      </c>
      <c r="AY18" s="15">
        <v>1</v>
      </c>
      <c r="AZ18" s="15">
        <v>19</v>
      </c>
      <c r="BA18" s="15">
        <v>2</v>
      </c>
      <c r="BB18" s="15">
        <v>1</v>
      </c>
      <c r="BC18" s="15">
        <v>20</v>
      </c>
      <c r="BD18" s="15">
        <v>2</v>
      </c>
      <c r="BE18" s="15">
        <v>0</v>
      </c>
      <c r="BF18" s="15">
        <v>0</v>
      </c>
      <c r="BG18" s="15">
        <v>0</v>
      </c>
      <c r="BH18" s="15">
        <v>2</v>
      </c>
      <c r="BI18" s="15">
        <v>43</v>
      </c>
      <c r="BJ18" s="15">
        <v>4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1</v>
      </c>
      <c r="BR18" s="15">
        <v>22</v>
      </c>
      <c r="BS18" s="15">
        <v>2</v>
      </c>
      <c r="BT18" s="15">
        <v>0</v>
      </c>
      <c r="BU18" s="15">
        <v>0</v>
      </c>
      <c r="BV18" s="15">
        <v>0</v>
      </c>
      <c r="BW18" s="15">
        <v>1</v>
      </c>
      <c r="BX18" s="15">
        <v>24</v>
      </c>
      <c r="BY18" s="15">
        <v>2</v>
      </c>
      <c r="BZ18" s="15"/>
    </row>
    <row r="19" spans="1:78" ht="15.5" x14ac:dyDescent="0.35">
      <c r="A19" s="7">
        <v>8</v>
      </c>
      <c r="B19" s="11" t="s">
        <v>51</v>
      </c>
      <c r="C19" s="7">
        <f t="shared" ref="C19:E19" si="7">SUM(F19+I19+L19+O19+R19+U19+X19+AA19+AD19+AG19+AJ19+AM19+AP19+AS19+AV19+AY19+BB19+BE19+BH19+BK19+BN19+BQ19+BT19+BW19)</f>
        <v>0</v>
      </c>
      <c r="D19" s="7">
        <f t="shared" si="7"/>
        <v>0</v>
      </c>
      <c r="E19" s="7">
        <f t="shared" si="7"/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4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/>
    </row>
    <row r="20" spans="1:78" ht="15.5" x14ac:dyDescent="0.35">
      <c r="A20" s="18">
        <v>9</v>
      </c>
      <c r="B20" s="8" t="s">
        <v>80</v>
      </c>
      <c r="C20" s="9">
        <f t="shared" ref="C20:E20" si="8">SUM(F20+I20+L20+O20+R20+U20+X20+AA20+AD20+AG20+AJ20+AM20+AP20+AS20+AV20+AY20+BB20+BE20+BH20+BK20+BN20+BQ20+BT20+BW20)</f>
        <v>12</v>
      </c>
      <c r="D20" s="9">
        <f t="shared" si="8"/>
        <v>244</v>
      </c>
      <c r="E20" s="9">
        <f t="shared" si="8"/>
        <v>35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2</v>
      </c>
      <c r="AE20" s="10">
        <v>40</v>
      </c>
      <c r="AF20" s="10">
        <v>6</v>
      </c>
      <c r="AG20" s="10">
        <v>2</v>
      </c>
      <c r="AH20" s="10">
        <v>39</v>
      </c>
      <c r="AI20" s="10">
        <v>6</v>
      </c>
      <c r="AJ20" s="10">
        <v>3</v>
      </c>
      <c r="AK20" s="10">
        <v>59</v>
      </c>
      <c r="AL20" s="10">
        <v>8</v>
      </c>
      <c r="AM20" s="10">
        <v>2</v>
      </c>
      <c r="AN20" s="10">
        <v>41</v>
      </c>
      <c r="AO20" s="10">
        <v>6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2</v>
      </c>
      <c r="AW20" s="10">
        <v>38</v>
      </c>
      <c r="AX20" s="10">
        <v>6</v>
      </c>
      <c r="AY20" s="10">
        <v>1</v>
      </c>
      <c r="AZ20" s="10">
        <v>27</v>
      </c>
      <c r="BA20" s="10">
        <v>3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/>
    </row>
    <row r="21" spans="1:78" ht="15.5" x14ac:dyDescent="0.35">
      <c r="A21" s="7">
        <v>10</v>
      </c>
      <c r="B21" s="11" t="s">
        <v>52</v>
      </c>
      <c r="C21" s="7">
        <f t="shared" ref="C21:E21" si="9">SUM(F21+I21+L21+O21+R21+U21+X21+AA21+AD21+AG21+AJ21+AM21+AP21+AS21+AV21+AY21+BB21+BE21+BH21+BK21+BN21+BQ21+BT21+BW21)</f>
        <v>1</v>
      </c>
      <c r="D21" s="7">
        <f t="shared" si="9"/>
        <v>19</v>
      </c>
      <c r="E21" s="7">
        <f t="shared" si="9"/>
        <v>2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1</v>
      </c>
      <c r="BL21" s="13">
        <v>19</v>
      </c>
      <c r="BM21" s="13">
        <v>2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/>
    </row>
    <row r="22" spans="1:78" ht="15.5" x14ac:dyDescent="0.35">
      <c r="A22" s="18">
        <v>11</v>
      </c>
      <c r="B22" s="8" t="s">
        <v>53</v>
      </c>
      <c r="C22" s="9">
        <f t="shared" ref="C22:E22" si="10">SUM(F22+I22+L22+O22+R22+U22+X22+AA22+AD22+AG22+AJ22+AM22+AP22+AS22+AV22+AY22+BB22+BE22+BH22+BK22+BN22+BQ22+BT22+BW22)</f>
        <v>0</v>
      </c>
      <c r="D22" s="9">
        <f t="shared" si="10"/>
        <v>0</v>
      </c>
      <c r="E22" s="9">
        <f t="shared" si="10"/>
        <v>0</v>
      </c>
      <c r="F22" s="10">
        <v>0</v>
      </c>
      <c r="G22" s="10">
        <v>0</v>
      </c>
      <c r="H22" s="15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/>
    </row>
    <row r="23" spans="1:78" ht="15.5" x14ac:dyDescent="0.35">
      <c r="A23" s="7">
        <v>12</v>
      </c>
      <c r="B23" s="11" t="s">
        <v>54</v>
      </c>
      <c r="C23" s="7">
        <f t="shared" ref="C23:E23" si="11">SUM(F23+I23+L23+O23+R23+U23+X23+AA23+AD23+AG23+AJ23+AM23+AP23+AS23+AV23+AY23+BB23+BE23+BH23+BK23+BN23+BQ23+BT23+BW23)</f>
        <v>0</v>
      </c>
      <c r="D23" s="7">
        <f t="shared" si="11"/>
        <v>0</v>
      </c>
      <c r="E23" s="7">
        <f t="shared" si="11"/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/>
    </row>
    <row r="24" spans="1:78" ht="15.5" x14ac:dyDescent="0.35">
      <c r="A24" s="18">
        <v>13</v>
      </c>
      <c r="B24" s="8" t="s">
        <v>55</v>
      </c>
      <c r="C24" s="9">
        <f t="shared" ref="C24:E24" si="12">SUM(F24+I24+L24+O24+R24+U24+X24+AA24+AD24+AG24+AJ24+AM24+AP24+AS24+AV24+AY24+BB24+BE24+BH24+BK24+BN24+BQ24+BT24+BW24)</f>
        <v>0</v>
      </c>
      <c r="D24" s="9">
        <f t="shared" si="12"/>
        <v>0</v>
      </c>
      <c r="E24" s="9">
        <f t="shared" si="12"/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/>
    </row>
    <row r="25" spans="1:78" ht="15" customHeight="1" x14ac:dyDescent="0.35">
      <c r="B25" s="30" t="s">
        <v>62</v>
      </c>
    </row>
    <row r="26" spans="1:78" ht="14.5" x14ac:dyDescent="0.35">
      <c r="B26" s="3" t="s">
        <v>56</v>
      </c>
    </row>
    <row r="27" spans="1:78" ht="14.5" x14ac:dyDescent="0.35">
      <c r="B27" s="3" t="s">
        <v>57</v>
      </c>
    </row>
    <row r="28" spans="1:78" ht="15" customHeight="1" x14ac:dyDescent="0.35">
      <c r="B28" s="3" t="s">
        <v>63</v>
      </c>
      <c r="J28" s="3" t="s">
        <v>66</v>
      </c>
      <c r="N28" s="3"/>
      <c r="O28" s="3"/>
      <c r="AW28" s="3"/>
    </row>
    <row r="29" spans="1:78" ht="14.5" x14ac:dyDescent="0.35">
      <c r="B29" s="3"/>
      <c r="O29" s="3"/>
      <c r="AW29" s="3"/>
    </row>
    <row r="30" spans="1:78" ht="14.5" x14ac:dyDescent="0.35">
      <c r="B30" s="3"/>
    </row>
    <row r="31" spans="1:78" ht="15" customHeight="1" x14ac:dyDescent="0.35">
      <c r="B31" s="17" t="s">
        <v>77</v>
      </c>
      <c r="Y31" s="17" t="s">
        <v>60</v>
      </c>
      <c r="BI31" s="17" t="s">
        <v>58</v>
      </c>
    </row>
  </sheetData>
  <mergeCells count="34">
    <mergeCell ref="A9:A11"/>
    <mergeCell ref="B9:B11"/>
    <mergeCell ref="C9:C11"/>
    <mergeCell ref="AY10:BA10"/>
    <mergeCell ref="C1:BB1"/>
    <mergeCell ref="C2:BB2"/>
    <mergeCell ref="C3:BB3"/>
    <mergeCell ref="C4:BB4"/>
    <mergeCell ref="AJ10:AL10"/>
    <mergeCell ref="AM10:AO10"/>
    <mergeCell ref="AP10:AR10"/>
    <mergeCell ref="AS10:AU10"/>
    <mergeCell ref="AV10:AX10"/>
    <mergeCell ref="BQ10:BS10"/>
    <mergeCell ref="BT10:BV10"/>
    <mergeCell ref="BW10:BY10"/>
    <mergeCell ref="D9:D11"/>
    <mergeCell ref="E9:E11"/>
    <mergeCell ref="F9:BZ9"/>
    <mergeCell ref="F10:H10"/>
    <mergeCell ref="I10:K10"/>
    <mergeCell ref="L10:N10"/>
    <mergeCell ref="O10:Q10"/>
    <mergeCell ref="R10:T10"/>
    <mergeCell ref="U10:W10"/>
    <mergeCell ref="X10:Z10"/>
    <mergeCell ref="AA10:AC10"/>
    <mergeCell ref="AD10:AF10"/>
    <mergeCell ref="AG10:AI10"/>
    <mergeCell ref="BB10:BD10"/>
    <mergeCell ref="BE10:BG10"/>
    <mergeCell ref="BH10:BJ10"/>
    <mergeCell ref="BK10:BM10"/>
    <mergeCell ref="BN10:BP10"/>
  </mergeCells>
  <pageMargins left="0.7" right="0.7" top="0.75" bottom="0.75" header="0" footer="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R1000"/>
  <sheetViews>
    <sheetView tabSelected="1" workbookViewId="0">
      <selection activeCell="C18" sqref="C18"/>
    </sheetView>
  </sheetViews>
  <sheetFormatPr defaultColWidth="14.453125" defaultRowHeight="15" customHeight="1" x14ac:dyDescent="0.35"/>
  <cols>
    <col min="1" max="1" width="4.453125" customWidth="1"/>
    <col min="2" max="2" width="49.08984375" customWidth="1"/>
    <col min="3" max="3" width="12.453125" customWidth="1"/>
    <col min="4" max="4" width="9.7265625" customWidth="1"/>
    <col min="5" max="5" width="7.54296875" customWidth="1"/>
    <col min="6" max="7" width="4" customWidth="1"/>
    <col min="8" max="9" width="4.08984375" customWidth="1"/>
    <col min="10" max="10" width="4" customWidth="1"/>
    <col min="11" max="11" width="4.26953125" customWidth="1"/>
    <col min="12" max="12" width="3.26953125" customWidth="1"/>
    <col min="13" max="13" width="4" customWidth="1"/>
    <col min="14" max="14" width="4.26953125" customWidth="1"/>
    <col min="15" max="15" width="4.08984375" customWidth="1"/>
    <col min="16" max="16" width="4" customWidth="1"/>
    <col min="17" max="17" width="4.54296875" customWidth="1"/>
    <col min="18" max="19" width="4" customWidth="1"/>
    <col min="20" max="20" width="4.7265625" customWidth="1"/>
    <col min="21" max="21" width="3.81640625" customWidth="1"/>
    <col min="22" max="22" width="4" customWidth="1"/>
    <col min="23" max="23" width="4.81640625" customWidth="1"/>
    <col min="24" max="24" width="3.81640625" customWidth="1"/>
    <col min="25" max="25" width="4" customWidth="1"/>
    <col min="26" max="26" width="4.7265625" customWidth="1"/>
    <col min="27" max="27" width="3.7265625" customWidth="1"/>
    <col min="28" max="28" width="3.54296875" customWidth="1"/>
    <col min="29" max="34" width="4" customWidth="1"/>
    <col min="35" max="36" width="3.26953125" customWidth="1"/>
    <col min="37" max="37" width="4" customWidth="1"/>
    <col min="38" max="39" width="3.26953125" customWidth="1"/>
    <col min="40" max="40" width="4" customWidth="1"/>
    <col min="41" max="42" width="3.26953125" customWidth="1"/>
    <col min="43" max="43" width="4" customWidth="1"/>
    <col min="44" max="45" width="3.26953125" customWidth="1"/>
    <col min="46" max="49" width="4" customWidth="1"/>
    <col min="50" max="51" width="4.08984375" customWidth="1"/>
    <col min="52" max="95" width="4" customWidth="1"/>
    <col min="96" max="96" width="13.81640625" customWidth="1"/>
  </cols>
  <sheetData>
    <row r="1" spans="1:96" ht="15" customHeight="1" x14ac:dyDescent="0.3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</row>
    <row r="2" spans="1:96" ht="15" customHeight="1" x14ac:dyDescent="0.35">
      <c r="C2" s="40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</row>
    <row r="3" spans="1:96" ht="15" customHeight="1" x14ac:dyDescent="0.35">
      <c r="C3" s="41" t="s">
        <v>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</row>
    <row r="4" spans="1:96" ht="15" customHeight="1" x14ac:dyDescent="0.35">
      <c r="C4" s="41" t="s">
        <v>3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</row>
    <row r="5" spans="1:96" ht="15" customHeight="1" x14ac:dyDescent="0.3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</row>
    <row r="6" spans="1:96" ht="15" customHeight="1" x14ac:dyDescent="0.35">
      <c r="B6" s="3" t="s">
        <v>4</v>
      </c>
      <c r="C6" s="3" t="s">
        <v>5</v>
      </c>
    </row>
    <row r="7" spans="1:96" ht="15" customHeight="1" x14ac:dyDescent="0.35">
      <c r="B7" s="3" t="s">
        <v>6</v>
      </c>
      <c r="C7" s="3" t="s">
        <v>78</v>
      </c>
    </row>
    <row r="9" spans="1:96" ht="14.5" x14ac:dyDescent="0.35">
      <c r="A9" s="42" t="s">
        <v>8</v>
      </c>
      <c r="B9" s="42" t="s">
        <v>9</v>
      </c>
      <c r="C9" s="34" t="s">
        <v>10</v>
      </c>
      <c r="D9" s="34" t="s">
        <v>11</v>
      </c>
      <c r="E9" s="34" t="s">
        <v>12</v>
      </c>
      <c r="F9" s="31" t="s">
        <v>13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3"/>
    </row>
    <row r="10" spans="1:96" ht="14.5" x14ac:dyDescent="0.35">
      <c r="A10" s="35"/>
      <c r="B10" s="35"/>
      <c r="C10" s="35"/>
      <c r="D10" s="35"/>
      <c r="E10" s="35"/>
      <c r="F10" s="37" t="s">
        <v>14</v>
      </c>
      <c r="G10" s="32"/>
      <c r="H10" s="33"/>
      <c r="I10" s="31" t="s">
        <v>15</v>
      </c>
      <c r="J10" s="32"/>
      <c r="K10" s="33"/>
      <c r="L10" s="31" t="s">
        <v>16</v>
      </c>
      <c r="M10" s="32"/>
      <c r="N10" s="33"/>
      <c r="O10" s="31" t="s">
        <v>17</v>
      </c>
      <c r="P10" s="32"/>
      <c r="Q10" s="33"/>
      <c r="R10" s="31" t="s">
        <v>18</v>
      </c>
      <c r="S10" s="32"/>
      <c r="T10" s="33"/>
      <c r="U10" s="31" t="s">
        <v>19</v>
      </c>
      <c r="V10" s="32"/>
      <c r="W10" s="33"/>
      <c r="X10" s="31" t="s">
        <v>20</v>
      </c>
      <c r="Y10" s="32"/>
      <c r="Z10" s="33"/>
      <c r="AA10" s="31" t="s">
        <v>21</v>
      </c>
      <c r="AB10" s="32"/>
      <c r="AC10" s="33"/>
      <c r="AD10" s="31" t="s">
        <v>22</v>
      </c>
      <c r="AE10" s="32"/>
      <c r="AF10" s="33"/>
      <c r="AG10" s="31" t="s">
        <v>23</v>
      </c>
      <c r="AH10" s="32"/>
      <c r="AI10" s="33"/>
      <c r="AJ10" s="31" t="s">
        <v>24</v>
      </c>
      <c r="AK10" s="32"/>
      <c r="AL10" s="33"/>
      <c r="AM10" s="31" t="s">
        <v>25</v>
      </c>
      <c r="AN10" s="32"/>
      <c r="AO10" s="33"/>
      <c r="AP10" s="31" t="s">
        <v>26</v>
      </c>
      <c r="AQ10" s="32"/>
      <c r="AR10" s="33"/>
      <c r="AS10" s="31" t="s">
        <v>27</v>
      </c>
      <c r="AT10" s="32"/>
      <c r="AU10" s="33"/>
      <c r="AV10" s="31" t="s">
        <v>28</v>
      </c>
      <c r="AW10" s="32"/>
      <c r="AX10" s="33"/>
      <c r="AY10" s="31" t="s">
        <v>29</v>
      </c>
      <c r="AZ10" s="32"/>
      <c r="BA10" s="33"/>
      <c r="BB10" s="31" t="s">
        <v>30</v>
      </c>
      <c r="BC10" s="32"/>
      <c r="BD10" s="33"/>
      <c r="BE10" s="31" t="s">
        <v>31</v>
      </c>
      <c r="BF10" s="32"/>
      <c r="BG10" s="33"/>
      <c r="BH10" s="31" t="s">
        <v>32</v>
      </c>
      <c r="BI10" s="32"/>
      <c r="BJ10" s="33"/>
      <c r="BK10" s="31" t="s">
        <v>33</v>
      </c>
      <c r="BL10" s="32"/>
      <c r="BM10" s="33"/>
      <c r="BN10" s="31" t="s">
        <v>34</v>
      </c>
      <c r="BO10" s="32"/>
      <c r="BP10" s="33"/>
      <c r="BQ10" s="31" t="s">
        <v>35</v>
      </c>
      <c r="BR10" s="32"/>
      <c r="BS10" s="33"/>
      <c r="BT10" s="31" t="s">
        <v>36</v>
      </c>
      <c r="BU10" s="32"/>
      <c r="BV10" s="33"/>
      <c r="BW10" s="31" t="s">
        <v>37</v>
      </c>
      <c r="BX10" s="32"/>
      <c r="BY10" s="33"/>
      <c r="BZ10" s="31" t="s">
        <v>38</v>
      </c>
      <c r="CA10" s="32"/>
      <c r="CB10" s="33"/>
      <c r="CC10" s="31" t="s">
        <v>39</v>
      </c>
      <c r="CD10" s="32"/>
      <c r="CE10" s="33"/>
      <c r="CF10" s="31" t="s">
        <v>40</v>
      </c>
      <c r="CG10" s="32"/>
      <c r="CH10" s="33"/>
      <c r="CI10" s="31">
        <v>28</v>
      </c>
      <c r="CJ10" s="32"/>
      <c r="CK10" s="33"/>
      <c r="CL10" s="31">
        <v>29</v>
      </c>
      <c r="CM10" s="32"/>
      <c r="CN10" s="33"/>
      <c r="CO10" s="31">
        <v>30</v>
      </c>
      <c r="CP10" s="32"/>
      <c r="CQ10" s="33"/>
      <c r="CR10" s="4"/>
    </row>
    <row r="11" spans="1:96" ht="14.5" x14ac:dyDescent="0.35">
      <c r="A11" s="36"/>
      <c r="B11" s="36"/>
      <c r="C11" s="36"/>
      <c r="D11" s="36"/>
      <c r="E11" s="36"/>
      <c r="F11" s="31" t="s">
        <v>41</v>
      </c>
      <c r="G11" s="33"/>
      <c r="H11" s="5" t="s">
        <v>42</v>
      </c>
      <c r="I11" s="5" t="s">
        <v>41</v>
      </c>
      <c r="J11" s="5" t="s">
        <v>43</v>
      </c>
      <c r="K11" s="5" t="s">
        <v>42</v>
      </c>
      <c r="L11" s="5" t="s">
        <v>41</v>
      </c>
      <c r="M11" s="5" t="s">
        <v>43</v>
      </c>
      <c r="N11" s="5" t="s">
        <v>42</v>
      </c>
      <c r="O11" s="5" t="s">
        <v>41</v>
      </c>
      <c r="P11" s="5" t="s">
        <v>43</v>
      </c>
      <c r="Q11" s="5" t="s">
        <v>42</v>
      </c>
      <c r="R11" s="5" t="s">
        <v>41</v>
      </c>
      <c r="S11" s="5" t="s">
        <v>43</v>
      </c>
      <c r="T11" s="5" t="s">
        <v>42</v>
      </c>
      <c r="U11" s="5" t="s">
        <v>41</v>
      </c>
      <c r="V11" s="5" t="s">
        <v>43</v>
      </c>
      <c r="W11" s="5" t="s">
        <v>42</v>
      </c>
      <c r="X11" s="5" t="s">
        <v>41</v>
      </c>
      <c r="Y11" s="5" t="s">
        <v>43</v>
      </c>
      <c r="Z11" s="5" t="s">
        <v>42</v>
      </c>
      <c r="AA11" s="5" t="s">
        <v>41</v>
      </c>
      <c r="AB11" s="5" t="s">
        <v>43</v>
      </c>
      <c r="AC11" s="5" t="s">
        <v>42</v>
      </c>
      <c r="AD11" s="5" t="s">
        <v>41</v>
      </c>
      <c r="AE11" s="5" t="s">
        <v>43</v>
      </c>
      <c r="AF11" s="5" t="s">
        <v>42</v>
      </c>
      <c r="AG11" s="5" t="s">
        <v>41</v>
      </c>
      <c r="AH11" s="5" t="s">
        <v>43</v>
      </c>
      <c r="AI11" s="5" t="s">
        <v>42</v>
      </c>
      <c r="AJ11" s="5" t="s">
        <v>41</v>
      </c>
      <c r="AK11" s="5" t="s">
        <v>43</v>
      </c>
      <c r="AL11" s="5" t="s">
        <v>42</v>
      </c>
      <c r="AM11" s="5" t="s">
        <v>41</v>
      </c>
      <c r="AN11" s="5" t="s">
        <v>43</v>
      </c>
      <c r="AO11" s="5" t="s">
        <v>42</v>
      </c>
      <c r="AP11" s="5" t="s">
        <v>41</v>
      </c>
      <c r="AQ11" s="5" t="s">
        <v>43</v>
      </c>
      <c r="AR11" s="5" t="s">
        <v>42</v>
      </c>
      <c r="AS11" s="5" t="s">
        <v>41</v>
      </c>
      <c r="AT11" s="5" t="s">
        <v>43</v>
      </c>
      <c r="AU11" s="5" t="s">
        <v>42</v>
      </c>
      <c r="AV11" s="5" t="s">
        <v>41</v>
      </c>
      <c r="AW11" s="5" t="s">
        <v>43</v>
      </c>
      <c r="AX11" s="5" t="s">
        <v>42</v>
      </c>
      <c r="AY11" s="5" t="s">
        <v>41</v>
      </c>
      <c r="AZ11" s="5" t="s">
        <v>43</v>
      </c>
      <c r="BA11" s="5" t="s">
        <v>42</v>
      </c>
      <c r="BB11" s="5" t="s">
        <v>41</v>
      </c>
      <c r="BC11" s="5" t="s">
        <v>43</v>
      </c>
      <c r="BD11" s="5" t="s">
        <v>42</v>
      </c>
      <c r="BE11" s="5" t="s">
        <v>41</v>
      </c>
      <c r="BF11" s="5" t="s">
        <v>43</v>
      </c>
      <c r="BG11" s="5" t="s">
        <v>42</v>
      </c>
      <c r="BH11" s="5" t="s">
        <v>41</v>
      </c>
      <c r="BI11" s="5" t="s">
        <v>43</v>
      </c>
      <c r="BJ11" s="5" t="s">
        <v>42</v>
      </c>
      <c r="BK11" s="5" t="s">
        <v>41</v>
      </c>
      <c r="BL11" s="5" t="s">
        <v>43</v>
      </c>
      <c r="BM11" s="5" t="s">
        <v>42</v>
      </c>
      <c r="BN11" s="5" t="s">
        <v>41</v>
      </c>
      <c r="BO11" s="5" t="s">
        <v>43</v>
      </c>
      <c r="BP11" s="5" t="s">
        <v>42</v>
      </c>
      <c r="BQ11" s="5" t="s">
        <v>41</v>
      </c>
      <c r="BR11" s="5" t="s">
        <v>43</v>
      </c>
      <c r="BS11" s="5" t="s">
        <v>42</v>
      </c>
      <c r="BT11" s="5" t="s">
        <v>41</v>
      </c>
      <c r="BU11" s="5" t="s">
        <v>43</v>
      </c>
      <c r="BV11" s="5" t="s">
        <v>42</v>
      </c>
      <c r="BW11" s="5" t="s">
        <v>41</v>
      </c>
      <c r="BX11" s="5" t="s">
        <v>43</v>
      </c>
      <c r="BY11" s="5" t="s">
        <v>42</v>
      </c>
      <c r="BZ11" s="5" t="s">
        <v>41</v>
      </c>
      <c r="CA11" s="5" t="s">
        <v>43</v>
      </c>
      <c r="CB11" s="5" t="s">
        <v>42</v>
      </c>
      <c r="CC11" s="5" t="s">
        <v>41</v>
      </c>
      <c r="CD11" s="5" t="s">
        <v>43</v>
      </c>
      <c r="CE11" s="5" t="s">
        <v>42</v>
      </c>
      <c r="CF11" s="5" t="s">
        <v>41</v>
      </c>
      <c r="CG11" s="5" t="s">
        <v>43</v>
      </c>
      <c r="CH11" s="5" t="s">
        <v>42</v>
      </c>
      <c r="CI11" s="5" t="s">
        <v>41</v>
      </c>
      <c r="CJ11" s="5" t="s">
        <v>43</v>
      </c>
      <c r="CK11" s="5" t="s">
        <v>42</v>
      </c>
      <c r="CL11" s="5" t="s">
        <v>41</v>
      </c>
      <c r="CM11" s="5" t="s">
        <v>43</v>
      </c>
      <c r="CN11" s="5" t="s">
        <v>42</v>
      </c>
      <c r="CO11" s="5" t="s">
        <v>41</v>
      </c>
      <c r="CP11" s="5" t="s">
        <v>43</v>
      </c>
      <c r="CQ11" s="5" t="s">
        <v>42</v>
      </c>
      <c r="CR11" s="6" t="s">
        <v>44</v>
      </c>
    </row>
    <row r="12" spans="1:96" ht="15.5" x14ac:dyDescent="0.35">
      <c r="A12" s="7">
        <v>1</v>
      </c>
      <c r="B12" s="8" t="s">
        <v>45</v>
      </c>
      <c r="C12" s="9">
        <f t="shared" ref="C12:C24" si="0">SUM(F12+I12+L12+O12+R12+U12+X12+AA12+AD12+AG12+AJ12+AM12+AP12+AS12+AV12+AY12+BB12+BE12+BH12+BK12+BN12+BQ12+BT12+BW12+BZ12+CC12+CF12+CI12+CL12+CO12+CR12)</f>
        <v>0</v>
      </c>
      <c r="D12" s="9">
        <f t="shared" ref="D12:E12" si="1">SUM(G12+J12+M12+P12+S12+V12+Y12+AB12+AE12+AH12+AK12+AN12+AQ12+AT12+AW12+AZ12+BC12+BF12+BI12+BL12+BO12+BR12+BU12+BX12+CA12+CD12+CG12+CJ12+CM12+CP12)</f>
        <v>0</v>
      </c>
      <c r="E12" s="9">
        <f t="shared" si="1"/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/>
    </row>
    <row r="13" spans="1:96" ht="15.5" x14ac:dyDescent="0.35">
      <c r="A13" s="7">
        <v>2</v>
      </c>
      <c r="B13" s="11" t="s">
        <v>46</v>
      </c>
      <c r="C13" s="7">
        <f t="shared" si="0"/>
        <v>0</v>
      </c>
      <c r="D13" s="12">
        <f t="shared" ref="D13:E13" si="2">SUM(G13+J13+M13+P13+S13+V13+Y13+AB13+AE13+AH13+AK13+AN13+AQ13+AT13+AW13+AZ13+BC13+BF13+BI13+BL13+BO13+BR13+BU13+BX13+CA13+CD13+CG13+CJ13+CM13+CP13)</f>
        <v>0</v>
      </c>
      <c r="E13" s="12">
        <f t="shared" si="2"/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4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  <c r="BX13" s="13">
        <v>0</v>
      </c>
      <c r="BY13" s="13">
        <v>0</v>
      </c>
      <c r="BZ13" s="13">
        <v>0</v>
      </c>
      <c r="CA13" s="13">
        <v>0</v>
      </c>
      <c r="CB13" s="13">
        <v>0</v>
      </c>
      <c r="CC13" s="13">
        <v>0</v>
      </c>
      <c r="CD13" s="13">
        <v>0</v>
      </c>
      <c r="CE13" s="13">
        <v>0</v>
      </c>
      <c r="CF13" s="13">
        <v>0</v>
      </c>
      <c r="CG13" s="13">
        <v>0</v>
      </c>
      <c r="CH13" s="13">
        <v>0</v>
      </c>
      <c r="CI13" s="13">
        <v>0</v>
      </c>
      <c r="CJ13" s="13">
        <v>0</v>
      </c>
      <c r="CK13" s="13">
        <v>0</v>
      </c>
      <c r="CL13" s="13">
        <v>0</v>
      </c>
      <c r="CM13" s="13">
        <v>0</v>
      </c>
      <c r="CN13" s="13">
        <v>0</v>
      </c>
      <c r="CO13" s="13">
        <v>0</v>
      </c>
      <c r="CP13" s="13">
        <v>0</v>
      </c>
      <c r="CQ13" s="13">
        <v>0</v>
      </c>
      <c r="CR13" s="13"/>
    </row>
    <row r="14" spans="1:96" ht="15.5" x14ac:dyDescent="0.35">
      <c r="A14" s="7">
        <v>3</v>
      </c>
      <c r="B14" s="8" t="s">
        <v>79</v>
      </c>
      <c r="C14" s="9">
        <f t="shared" si="0"/>
        <v>0</v>
      </c>
      <c r="D14" s="9">
        <f t="shared" ref="D14:E14" si="3">SUM(G14+J14+M14+P14+S14+V14+Y14+AB14+AE14+AH14+AK14+AN14+AQ14+AT14+AW14+AZ14+BC14+BF14+BI14+BL14+BO14+BR14+BU14+BX14+CA14+CD14+CG14+CJ14+CM14+CP14)</f>
        <v>0</v>
      </c>
      <c r="E14" s="9">
        <f t="shared" si="3"/>
        <v>0</v>
      </c>
      <c r="F14" s="10">
        <v>0</v>
      </c>
      <c r="G14" s="10">
        <v>0</v>
      </c>
      <c r="H14" s="15">
        <v>0</v>
      </c>
      <c r="I14" s="10">
        <v>0</v>
      </c>
      <c r="J14" s="10">
        <v>0</v>
      </c>
      <c r="K14" s="15">
        <v>0</v>
      </c>
      <c r="L14" s="10">
        <v>0</v>
      </c>
      <c r="M14" s="10">
        <v>0</v>
      </c>
      <c r="N14" s="15">
        <v>0</v>
      </c>
      <c r="O14" s="10">
        <v>0</v>
      </c>
      <c r="P14" s="10">
        <v>0</v>
      </c>
      <c r="Q14" s="15">
        <v>0</v>
      </c>
      <c r="R14" s="10">
        <v>0</v>
      </c>
      <c r="S14" s="10">
        <v>0</v>
      </c>
      <c r="T14" s="15">
        <v>0</v>
      </c>
      <c r="U14" s="10">
        <v>0</v>
      </c>
      <c r="V14" s="10">
        <v>0</v>
      </c>
      <c r="W14" s="15">
        <v>0</v>
      </c>
      <c r="X14" s="10">
        <v>0</v>
      </c>
      <c r="Y14" s="10">
        <v>0</v>
      </c>
      <c r="Z14" s="15">
        <v>0</v>
      </c>
      <c r="AA14" s="10">
        <v>0</v>
      </c>
      <c r="AB14" s="10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0">
        <v>0</v>
      </c>
      <c r="BU14" s="10">
        <v>0</v>
      </c>
      <c r="BV14" s="15">
        <v>0</v>
      </c>
      <c r="BW14" s="10">
        <v>0</v>
      </c>
      <c r="BX14" s="10">
        <v>0</v>
      </c>
      <c r="BY14" s="15">
        <v>0</v>
      </c>
      <c r="BZ14" s="10">
        <v>0</v>
      </c>
      <c r="CA14" s="10">
        <v>0</v>
      </c>
      <c r="CB14" s="15">
        <v>0</v>
      </c>
      <c r="CC14" s="10">
        <v>0</v>
      </c>
      <c r="CD14" s="10">
        <v>0</v>
      </c>
      <c r="CE14" s="16">
        <v>0</v>
      </c>
      <c r="CF14" s="10">
        <v>0</v>
      </c>
      <c r="CG14" s="10">
        <v>0</v>
      </c>
      <c r="CH14" s="15">
        <v>0</v>
      </c>
      <c r="CI14" s="10">
        <v>0</v>
      </c>
      <c r="CJ14" s="10">
        <v>0</v>
      </c>
      <c r="CK14" s="15">
        <v>0</v>
      </c>
      <c r="CL14" s="10">
        <v>0</v>
      </c>
      <c r="CM14" s="10">
        <v>0</v>
      </c>
      <c r="CN14" s="15">
        <v>0</v>
      </c>
      <c r="CO14" s="10">
        <v>0</v>
      </c>
      <c r="CP14" s="10">
        <v>0</v>
      </c>
      <c r="CQ14" s="15">
        <v>0</v>
      </c>
      <c r="CR14" s="10"/>
    </row>
    <row r="15" spans="1:96" ht="15.5" x14ac:dyDescent="0.35">
      <c r="A15" s="7">
        <v>4</v>
      </c>
      <c r="B15" s="11" t="s">
        <v>47</v>
      </c>
      <c r="C15" s="7">
        <f t="shared" si="0"/>
        <v>0</v>
      </c>
      <c r="D15" s="12">
        <f t="shared" ref="D15:E15" si="4">SUM(G15+J15+M15+P15+S15+V15+Y15+AB15+AE15+AH15+AK15+AN15+AQ15+AT15+AW15+AZ15+BC15+BF15+BI15+BL15+BO15+BR15+BU15+BX15+CA15+CD15+CG15+CJ15+CM15+CP15)</f>
        <v>0</v>
      </c>
      <c r="E15" s="12">
        <f t="shared" si="4"/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4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0</v>
      </c>
      <c r="CR15" s="13"/>
    </row>
    <row r="16" spans="1:96" ht="15.5" x14ac:dyDescent="0.35">
      <c r="A16" s="7">
        <v>5</v>
      </c>
      <c r="B16" s="8" t="s">
        <v>48</v>
      </c>
      <c r="C16" s="9">
        <f t="shared" si="0"/>
        <v>0</v>
      </c>
      <c r="D16" s="9">
        <f t="shared" ref="D16:E16" si="5">SUM(G16+J16+M16+P16+S16+V16+Y16+AB16+AE16+AH16+AK16+AN16+AQ16+AT16+AW16+AZ16+BC16+BF16+BI16+BL16+BO16+BR16+BU16+BX16+CA16+CD16+CG16+CJ16+CM16+CP16)</f>
        <v>0</v>
      </c>
      <c r="E16" s="9">
        <f t="shared" si="5"/>
        <v>0</v>
      </c>
      <c r="F16" s="10">
        <v>0</v>
      </c>
      <c r="G16" s="10">
        <v>0</v>
      </c>
      <c r="H16" s="15">
        <v>0</v>
      </c>
      <c r="I16" s="10">
        <v>0</v>
      </c>
      <c r="J16" s="10">
        <v>0</v>
      </c>
      <c r="K16" s="15">
        <v>0</v>
      </c>
      <c r="L16" s="10">
        <v>0</v>
      </c>
      <c r="M16" s="10">
        <v>0</v>
      </c>
      <c r="N16" s="15">
        <v>0</v>
      </c>
      <c r="O16" s="10">
        <v>0</v>
      </c>
      <c r="P16" s="10">
        <v>0</v>
      </c>
      <c r="Q16" s="15">
        <v>0</v>
      </c>
      <c r="R16" s="10">
        <v>0</v>
      </c>
      <c r="S16" s="10">
        <v>0</v>
      </c>
      <c r="T16" s="15">
        <v>0</v>
      </c>
      <c r="U16" s="10">
        <v>0</v>
      </c>
      <c r="V16" s="10">
        <v>0</v>
      </c>
      <c r="W16" s="15">
        <v>0</v>
      </c>
      <c r="X16" s="10">
        <v>0</v>
      </c>
      <c r="Y16" s="10">
        <v>0</v>
      </c>
      <c r="Z16" s="15">
        <v>0</v>
      </c>
      <c r="AA16" s="10">
        <v>0</v>
      </c>
      <c r="AB16" s="10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0">
        <v>0</v>
      </c>
      <c r="BG16" s="15">
        <v>0</v>
      </c>
      <c r="BH16" s="10">
        <v>0</v>
      </c>
      <c r="BI16" s="10">
        <v>0</v>
      </c>
      <c r="BJ16" s="15">
        <v>0</v>
      </c>
      <c r="BK16" s="10">
        <v>0</v>
      </c>
      <c r="BL16" s="10">
        <v>0</v>
      </c>
      <c r="BM16" s="15">
        <v>0</v>
      </c>
      <c r="BN16" s="10">
        <v>0</v>
      </c>
      <c r="BO16" s="10">
        <v>0</v>
      </c>
      <c r="BP16" s="15">
        <v>0</v>
      </c>
      <c r="BQ16" s="10">
        <v>0</v>
      </c>
      <c r="BR16" s="10">
        <v>0</v>
      </c>
      <c r="BS16" s="15">
        <v>0</v>
      </c>
      <c r="BT16" s="10">
        <v>0</v>
      </c>
      <c r="BU16" s="10">
        <v>0</v>
      </c>
      <c r="BV16" s="15">
        <v>0</v>
      </c>
      <c r="BW16" s="10">
        <v>0</v>
      </c>
      <c r="BX16" s="10">
        <v>0</v>
      </c>
      <c r="BY16" s="15">
        <v>0</v>
      </c>
      <c r="BZ16" s="10">
        <v>0</v>
      </c>
      <c r="CA16" s="10">
        <v>0</v>
      </c>
      <c r="CB16" s="15">
        <v>0</v>
      </c>
      <c r="CC16" s="10">
        <v>0</v>
      </c>
      <c r="CD16" s="10">
        <v>0</v>
      </c>
      <c r="CE16" s="15">
        <v>0</v>
      </c>
      <c r="CF16" s="10">
        <v>0</v>
      </c>
      <c r="CG16" s="10">
        <v>0</v>
      </c>
      <c r="CH16" s="15">
        <v>0</v>
      </c>
      <c r="CI16" s="10">
        <v>0</v>
      </c>
      <c r="CJ16" s="10">
        <v>0</v>
      </c>
      <c r="CK16" s="15">
        <v>0</v>
      </c>
      <c r="CL16" s="10">
        <v>0</v>
      </c>
      <c r="CM16" s="10">
        <v>0</v>
      </c>
      <c r="CN16" s="15">
        <v>0</v>
      </c>
      <c r="CO16" s="10">
        <v>0</v>
      </c>
      <c r="CP16" s="10">
        <v>0</v>
      </c>
      <c r="CQ16" s="15">
        <v>0</v>
      </c>
      <c r="CR16" s="10"/>
    </row>
    <row r="17" spans="1:96" ht="15.5" x14ac:dyDescent="0.35">
      <c r="A17" s="7">
        <v>6</v>
      </c>
      <c r="B17" s="11" t="s">
        <v>49</v>
      </c>
      <c r="C17" s="7">
        <f t="shared" si="0"/>
        <v>0</v>
      </c>
      <c r="D17" s="12">
        <f t="shared" ref="D17:E17" si="6">SUM(G17+J17+M17+P17+S17+V17+Y17+AB17+AE17+AH17+AK17+AN17+AQ17+AT17+AW17+AZ17+BC17+BF17+BI17+BL17+BO17+BR17+BU17+BX17+CA17+CD17+CG17+CJ17+CM17+CP17)</f>
        <v>0</v>
      </c>
      <c r="E17" s="12">
        <f t="shared" si="6"/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4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  <c r="BX17" s="13">
        <v>0</v>
      </c>
      <c r="BY17" s="13">
        <v>0</v>
      </c>
      <c r="BZ17" s="13">
        <v>0</v>
      </c>
      <c r="CA17" s="13">
        <v>0</v>
      </c>
      <c r="CB17" s="13">
        <v>0</v>
      </c>
      <c r="CC17" s="13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/>
    </row>
    <row r="18" spans="1:96" ht="15.5" x14ac:dyDescent="0.35">
      <c r="A18" s="7">
        <v>7</v>
      </c>
      <c r="B18" s="8" t="s">
        <v>50</v>
      </c>
      <c r="C18" s="9">
        <f t="shared" si="0"/>
        <v>0</v>
      </c>
      <c r="D18" s="9">
        <f t="shared" ref="D18:E18" si="7">SUM(G18+J18+M18+P18+S18+V18+Y18+AB18+AE18+AH18+AK18+AN18+AQ18+AT18+AW18+AZ18+BC18+BF18+BI18+BL18+BO18+BR18+BU18+BX18+CA18+CD18+CG18+CJ18+CM18+CP18)</f>
        <v>0</v>
      </c>
      <c r="E18" s="9">
        <f t="shared" si="7"/>
        <v>0</v>
      </c>
      <c r="F18" s="10">
        <v>0</v>
      </c>
      <c r="G18" s="10">
        <v>0</v>
      </c>
      <c r="H18" s="15">
        <v>0</v>
      </c>
      <c r="I18" s="10">
        <v>0</v>
      </c>
      <c r="J18" s="10">
        <v>0</v>
      </c>
      <c r="K18" s="15">
        <v>0</v>
      </c>
      <c r="L18" s="10">
        <v>0</v>
      </c>
      <c r="M18" s="10">
        <v>0</v>
      </c>
      <c r="N18" s="15">
        <v>0</v>
      </c>
      <c r="O18" s="10">
        <v>0</v>
      </c>
      <c r="P18" s="10">
        <v>0</v>
      </c>
      <c r="Q18" s="16">
        <v>0</v>
      </c>
      <c r="R18" s="10">
        <v>0</v>
      </c>
      <c r="S18" s="10">
        <v>0</v>
      </c>
      <c r="T18" s="15">
        <v>0</v>
      </c>
      <c r="U18" s="10">
        <v>0</v>
      </c>
      <c r="V18" s="10">
        <v>0</v>
      </c>
      <c r="W18" s="15">
        <v>0</v>
      </c>
      <c r="X18" s="10">
        <v>0</v>
      </c>
      <c r="Y18" s="10">
        <v>0</v>
      </c>
      <c r="Z18" s="15">
        <v>0</v>
      </c>
      <c r="AA18" s="10">
        <v>0</v>
      </c>
      <c r="AB18" s="10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/>
    </row>
    <row r="19" spans="1:96" ht="15.5" x14ac:dyDescent="0.35">
      <c r="A19" s="7">
        <v>8</v>
      </c>
      <c r="B19" s="11" t="s">
        <v>51</v>
      </c>
      <c r="C19" s="7">
        <f t="shared" si="0"/>
        <v>0</v>
      </c>
      <c r="D19" s="12">
        <f t="shared" ref="D19:E19" si="8">SUM(G19+J19+M19+P19+S19+V19+Y19+AB19+AE19+AH19+AK19+AN19+AQ19+AT19+AW19+AZ19+BC19+BF19+BI19+BL19+BO19+BR19+BU19+BX19+CA19+CD19+CG19+CJ19+CM19+CP19)</f>
        <v>0</v>
      </c>
      <c r="E19" s="12">
        <f t="shared" si="8"/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4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/>
    </row>
    <row r="20" spans="1:96" ht="15.5" x14ac:dyDescent="0.35">
      <c r="A20" s="7">
        <v>9</v>
      </c>
      <c r="B20" s="8" t="s">
        <v>80</v>
      </c>
      <c r="C20" s="9">
        <f t="shared" si="0"/>
        <v>11</v>
      </c>
      <c r="D20" s="9">
        <f t="shared" ref="D20:E20" si="9">SUM(G20+J20+M20+P20+S20+V20+Y20+AB20+AE20+AH20+AK20+AN20+AQ20+AT20+AW20+AZ20+BC20+BF20+BI20+BL20+BO20+BR20+BU20+BX20+CA20+CD20+CG20+CJ20+CM20+CP20)</f>
        <v>567</v>
      </c>
      <c r="E20" s="9">
        <f t="shared" si="9"/>
        <v>56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</v>
      </c>
      <c r="S20" s="10">
        <v>45</v>
      </c>
      <c r="T20" s="10">
        <v>4</v>
      </c>
      <c r="U20" s="10">
        <v>1</v>
      </c>
      <c r="V20" s="10">
        <v>38</v>
      </c>
      <c r="W20" s="10">
        <v>4</v>
      </c>
      <c r="X20" s="10">
        <v>1</v>
      </c>
      <c r="Y20" s="10">
        <v>35</v>
      </c>
      <c r="Z20" s="10">
        <v>3</v>
      </c>
      <c r="AA20" s="10">
        <v>1</v>
      </c>
      <c r="AB20" s="10">
        <v>40</v>
      </c>
      <c r="AC20" s="10">
        <v>3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1</v>
      </c>
      <c r="AN20" s="10">
        <v>70</v>
      </c>
      <c r="AO20" s="10">
        <v>8</v>
      </c>
      <c r="AP20" s="10">
        <v>1</v>
      </c>
      <c r="AQ20" s="10">
        <v>69</v>
      </c>
      <c r="AR20" s="10">
        <v>3</v>
      </c>
      <c r="AS20" s="10">
        <v>1</v>
      </c>
      <c r="AT20" s="10">
        <v>88</v>
      </c>
      <c r="AU20" s="10">
        <v>8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1</v>
      </c>
      <c r="BI20" s="10">
        <v>74</v>
      </c>
      <c r="BJ20" s="10">
        <v>7</v>
      </c>
      <c r="BK20" s="10">
        <v>1</v>
      </c>
      <c r="BL20" s="10">
        <v>14</v>
      </c>
      <c r="BM20" s="10">
        <v>7</v>
      </c>
      <c r="BN20" s="10">
        <v>1</v>
      </c>
      <c r="BO20" s="10">
        <v>74</v>
      </c>
      <c r="BP20" s="10">
        <v>7</v>
      </c>
      <c r="BQ20" s="10">
        <v>1</v>
      </c>
      <c r="BR20" s="10">
        <v>20</v>
      </c>
      <c r="BS20" s="10">
        <v>2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/>
    </row>
    <row r="21" spans="1:96" ht="15.75" customHeight="1" x14ac:dyDescent="0.35">
      <c r="A21" s="7">
        <v>10</v>
      </c>
      <c r="B21" s="11" t="s">
        <v>52</v>
      </c>
      <c r="C21" s="7">
        <f t="shared" si="0"/>
        <v>0</v>
      </c>
      <c r="D21" s="12">
        <f t="shared" ref="D21:E21" si="10">SUM(G21+J21+M21+P21+S21+V21+Y21+AB21+AE21+AH21+AK21+AN21+AQ21+AT21+AW21+AZ21+BC21+BF21+BI21+BL21+BO21+BR21+BU21+BX21+CA21+CD21+CG21+CJ21+CM21+CP21)</f>
        <v>0</v>
      </c>
      <c r="E21" s="12">
        <f t="shared" si="10"/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  <c r="BX21" s="13">
        <v>0</v>
      </c>
      <c r="BY21" s="13">
        <v>0</v>
      </c>
      <c r="BZ21" s="13">
        <v>0</v>
      </c>
      <c r="CA21" s="13">
        <v>0</v>
      </c>
      <c r="CB21" s="13">
        <v>0</v>
      </c>
      <c r="CC21" s="13">
        <v>0</v>
      </c>
      <c r="CD21" s="13">
        <v>0</v>
      </c>
      <c r="CE21" s="13">
        <v>0</v>
      </c>
      <c r="CF21" s="13">
        <v>0</v>
      </c>
      <c r="CG21" s="13">
        <v>0</v>
      </c>
      <c r="CH21" s="13">
        <v>0</v>
      </c>
      <c r="CI21" s="13">
        <v>0</v>
      </c>
      <c r="CJ21" s="13">
        <v>0</v>
      </c>
      <c r="CK21" s="13">
        <v>0</v>
      </c>
      <c r="CL21" s="13">
        <v>0</v>
      </c>
      <c r="CM21" s="13">
        <v>0</v>
      </c>
      <c r="CN21" s="13">
        <v>0</v>
      </c>
      <c r="CO21" s="13">
        <v>0</v>
      </c>
      <c r="CP21" s="13">
        <v>0</v>
      </c>
      <c r="CQ21" s="13">
        <v>0</v>
      </c>
      <c r="CR21" s="13"/>
    </row>
    <row r="22" spans="1:96" ht="15.75" customHeight="1" x14ac:dyDescent="0.35">
      <c r="A22" s="7">
        <v>11</v>
      </c>
      <c r="B22" s="8" t="s">
        <v>53</v>
      </c>
      <c r="C22" s="9">
        <f t="shared" si="0"/>
        <v>0</v>
      </c>
      <c r="D22" s="9">
        <f t="shared" ref="D22:E22" si="11">SUM(G22+J22+M22+P22+S22+V22+Y22+AB22+AE22+AH22+AK22+AN22+AQ22+AT22+AW22+AZ22+BC22+BF22+BI22+BL22+BO22+BR22+BU22+BX22+CA22+CD22+CG22+CJ22+CM22+CP22)</f>
        <v>0</v>
      </c>
      <c r="E22" s="9">
        <f t="shared" si="11"/>
        <v>0</v>
      </c>
      <c r="F22" s="10">
        <v>0</v>
      </c>
      <c r="G22" s="10">
        <v>0</v>
      </c>
      <c r="H22" s="15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/>
    </row>
    <row r="23" spans="1:96" ht="15.75" customHeight="1" x14ac:dyDescent="0.35">
      <c r="A23" s="7">
        <v>12</v>
      </c>
      <c r="B23" s="11" t="s">
        <v>54</v>
      </c>
      <c r="C23" s="7">
        <f t="shared" si="0"/>
        <v>8</v>
      </c>
      <c r="D23" s="12">
        <f t="shared" ref="D23:E23" si="12">SUM(G23+J23+M23+P23+S23+V23+Y23+AB23+AE23+AH23+AK23+AN23+AQ23+AT23+AW23+AZ23+BC23+BF23+BI23+BL23+BO23+BR23+BU23+BX23+CA23+CD23+CG23+CJ23+CM23+CP23)</f>
        <v>479</v>
      </c>
      <c r="E23" s="12">
        <f t="shared" si="12"/>
        <v>48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45</v>
      </c>
      <c r="T23" s="13">
        <v>4</v>
      </c>
      <c r="U23" s="13">
        <v>1</v>
      </c>
      <c r="V23" s="13">
        <v>38</v>
      </c>
      <c r="W23" s="13">
        <v>4</v>
      </c>
      <c r="X23" s="13">
        <v>1</v>
      </c>
      <c r="Y23" s="13">
        <v>35</v>
      </c>
      <c r="Z23" s="13">
        <v>3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1</v>
      </c>
      <c r="AN23" s="13">
        <v>70</v>
      </c>
      <c r="AO23" s="13">
        <v>8</v>
      </c>
      <c r="AP23" s="13">
        <v>1</v>
      </c>
      <c r="AQ23" s="13">
        <v>69</v>
      </c>
      <c r="AR23" s="13">
        <v>8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1</v>
      </c>
      <c r="BI23" s="13">
        <v>74</v>
      </c>
      <c r="BJ23" s="13">
        <v>7</v>
      </c>
      <c r="BK23" s="13">
        <v>1</v>
      </c>
      <c r="BL23" s="13">
        <v>74</v>
      </c>
      <c r="BM23" s="13">
        <v>7</v>
      </c>
      <c r="BN23" s="13">
        <v>1</v>
      </c>
      <c r="BO23" s="13">
        <v>74</v>
      </c>
      <c r="BP23" s="13">
        <v>7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  <c r="BX23" s="13">
        <v>0</v>
      </c>
      <c r="BY23" s="13">
        <v>0</v>
      </c>
      <c r="BZ23" s="13">
        <v>0</v>
      </c>
      <c r="CA23" s="13">
        <v>0</v>
      </c>
      <c r="CB23" s="13">
        <v>0</v>
      </c>
      <c r="CC23" s="13">
        <v>0</v>
      </c>
      <c r="CD23" s="13">
        <v>0</v>
      </c>
      <c r="CE23" s="13">
        <v>0</v>
      </c>
      <c r="CF23" s="13">
        <v>0</v>
      </c>
      <c r="CG23" s="13">
        <v>0</v>
      </c>
      <c r="CH23" s="13">
        <v>0</v>
      </c>
      <c r="CI23" s="13">
        <v>0</v>
      </c>
      <c r="CJ23" s="13">
        <v>0</v>
      </c>
      <c r="CK23" s="13">
        <v>0</v>
      </c>
      <c r="CL23" s="13">
        <v>0</v>
      </c>
      <c r="CM23" s="13">
        <v>0</v>
      </c>
      <c r="CN23" s="13">
        <v>0</v>
      </c>
      <c r="CO23" s="13">
        <v>0</v>
      </c>
      <c r="CP23" s="13">
        <v>0</v>
      </c>
      <c r="CQ23" s="13">
        <v>0</v>
      </c>
      <c r="CR23" s="13"/>
    </row>
    <row r="24" spans="1:96" ht="15.75" customHeight="1" x14ac:dyDescent="0.35">
      <c r="A24" s="7">
        <v>13</v>
      </c>
      <c r="B24" s="8" t="s">
        <v>55</v>
      </c>
      <c r="C24" s="9">
        <f t="shared" si="0"/>
        <v>0</v>
      </c>
      <c r="D24" s="9">
        <f t="shared" ref="D24:E24" si="13">SUM(G24+J24+M24+P24+S24+V24+Y24+AB24+AE24+AH24+AK24+AN24+AQ24+AT24+AW24+AZ24+BC24+BF24+BI24+BL24+BO24+BR24+BU24+BX24+CA24+CD24+CG24+CJ24+CM24+CP24)</f>
        <v>0</v>
      </c>
      <c r="E24" s="9">
        <f t="shared" si="13"/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/>
    </row>
    <row r="25" spans="1:96" ht="15.75" customHeight="1" x14ac:dyDescent="0.35"/>
    <row r="26" spans="1:96" ht="15.75" customHeight="1" x14ac:dyDescent="0.35">
      <c r="B26" s="3" t="s">
        <v>56</v>
      </c>
    </row>
    <row r="27" spans="1:96" ht="15.75" customHeight="1" x14ac:dyDescent="0.35">
      <c r="B27" s="3" t="s">
        <v>57</v>
      </c>
    </row>
    <row r="28" spans="1:96" ht="15" customHeight="1" x14ac:dyDescent="0.35">
      <c r="B28" s="3"/>
      <c r="W28" s="3"/>
      <c r="X28" s="3"/>
      <c r="BL28" s="3"/>
    </row>
    <row r="29" spans="1:96" ht="15.75" customHeight="1" x14ac:dyDescent="0.35">
      <c r="BL29" s="17" t="s">
        <v>58</v>
      </c>
    </row>
    <row r="30" spans="1:96" ht="15.75" customHeight="1" x14ac:dyDescent="0.35">
      <c r="B30" s="3"/>
    </row>
    <row r="31" spans="1:96" ht="15.75" customHeight="1" x14ac:dyDescent="0.35"/>
    <row r="32" spans="1:96" ht="15.75" customHeight="1" x14ac:dyDescent="0.35"/>
    <row r="33" spans="2:69" ht="15.75" customHeight="1" x14ac:dyDescent="0.35"/>
    <row r="34" spans="2:69" ht="15.75" customHeight="1" x14ac:dyDescent="0.35"/>
    <row r="35" spans="2:69" ht="15.75" customHeight="1" x14ac:dyDescent="0.35"/>
    <row r="36" spans="2:69" ht="15.75" customHeight="1" x14ac:dyDescent="0.35"/>
    <row r="37" spans="2:69" ht="15.75" customHeight="1" x14ac:dyDescent="0.35"/>
    <row r="38" spans="2:69" ht="15.75" customHeight="1" x14ac:dyDescent="0.35"/>
    <row r="39" spans="2:69" ht="15.75" customHeight="1" x14ac:dyDescent="0.35"/>
    <row r="40" spans="2:69" ht="15.75" customHeight="1" x14ac:dyDescent="0.35"/>
    <row r="41" spans="2:69" ht="15.75" customHeight="1" x14ac:dyDescent="0.35"/>
    <row r="42" spans="2:69" ht="15.75" customHeight="1" x14ac:dyDescent="0.35"/>
    <row r="43" spans="2:69" ht="15.75" customHeight="1" x14ac:dyDescent="0.35"/>
    <row r="44" spans="2:69" ht="15.75" customHeight="1" x14ac:dyDescent="0.35"/>
    <row r="45" spans="2:69" ht="15.75" customHeight="1" x14ac:dyDescent="0.35"/>
    <row r="46" spans="2:69" ht="15" customHeight="1" x14ac:dyDescent="0.35">
      <c r="B46" s="17" t="s">
        <v>59</v>
      </c>
      <c r="AA46" s="17" t="s">
        <v>60</v>
      </c>
      <c r="BQ46" s="17" t="s">
        <v>58</v>
      </c>
    </row>
    <row r="47" spans="2:69" ht="15.75" customHeight="1" x14ac:dyDescent="0.35"/>
    <row r="48" spans="2:69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1">
    <mergeCell ref="C1:BQ1"/>
    <mergeCell ref="C2:BQ2"/>
    <mergeCell ref="C3:BQ3"/>
    <mergeCell ref="C4:BQ4"/>
    <mergeCell ref="AM10:AO10"/>
    <mergeCell ref="AP10:AR10"/>
    <mergeCell ref="AS10:AU10"/>
    <mergeCell ref="AV10:AX10"/>
    <mergeCell ref="AY10:BA10"/>
    <mergeCell ref="X10:Z10"/>
    <mergeCell ref="AA10:AC10"/>
    <mergeCell ref="AD10:AF10"/>
    <mergeCell ref="AG10:AI10"/>
    <mergeCell ref="AJ10:AL10"/>
    <mergeCell ref="D9:D11"/>
    <mergeCell ref="E9:E11"/>
    <mergeCell ref="F11:G11"/>
    <mergeCell ref="A9:A11"/>
    <mergeCell ref="B9:B11"/>
    <mergeCell ref="C9:C11"/>
    <mergeCell ref="BT10:BV10"/>
    <mergeCell ref="F9:CR9"/>
    <mergeCell ref="BB10:BD10"/>
    <mergeCell ref="F10:H10"/>
    <mergeCell ref="I10:K10"/>
    <mergeCell ref="L10:N10"/>
    <mergeCell ref="O10:Q10"/>
    <mergeCell ref="R10:T10"/>
    <mergeCell ref="U10:W10"/>
    <mergeCell ref="BW10:BY10"/>
    <mergeCell ref="BZ10:CB10"/>
    <mergeCell ref="CC10:CE10"/>
    <mergeCell ref="CF10:CH10"/>
    <mergeCell ref="CI10:CK10"/>
    <mergeCell ref="CL10:CN10"/>
    <mergeCell ref="CO10:CQ10"/>
    <mergeCell ref="BE10:BG10"/>
    <mergeCell ref="BH10:BJ10"/>
    <mergeCell ref="BK10:BM10"/>
    <mergeCell ref="BN10:BP10"/>
    <mergeCell ref="BQ10:BS10"/>
  </mergeCells>
  <pageMargins left="0.7" right="0.7" top="0.75" bottom="0.75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JANUARI (2)</vt:lpstr>
      <vt:lpstr>JANUARI</vt:lpstr>
      <vt:lpstr>FEBRUARI </vt:lpstr>
      <vt:lpstr>MARET</vt:lpstr>
      <vt:lpstr>APRIL</vt:lpstr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PDPT</dc:creator>
  <cp:lastModifiedBy>Fauzan Afif</cp:lastModifiedBy>
  <dcterms:created xsi:type="dcterms:W3CDTF">2026-04-22T01:11:52Z</dcterms:created>
  <dcterms:modified xsi:type="dcterms:W3CDTF">2026-06-15T12:31:15Z</dcterms:modified>
</cp:coreProperties>
</file>